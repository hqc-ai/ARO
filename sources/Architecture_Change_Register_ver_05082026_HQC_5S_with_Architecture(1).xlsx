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323152bb8844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quan" sheetId="1" r:id="R15ee28e9b33943ae"/>
    <x:sheet xmlns:r="http://schemas.openxmlformats.org/officeDocument/2006/relationships" name="HQC - Thay đổi" sheetId="2" r:id="R454c1fed87c64aae"/>
    <x:sheet xmlns:r="http://schemas.openxmlformats.org/officeDocument/2006/relationships" name="5S - Thay đổi" sheetId="3" r:id="R8529e0ea68944552"/>
    <x:sheet xmlns:r="http://schemas.openxmlformats.org/officeDocument/2006/relationships" name="Backlog" sheetId="4" r:id="R7003368d020349ec"/>
    <x:sheet xmlns:r="http://schemas.openxmlformats.org/officeDocument/2006/relationships" name="Quyết định" sheetId="5" r:id="R1dd0b140bb3d458c"/>
    <x:sheet xmlns:r="http://schemas.openxmlformats.org/officeDocument/2006/relationships" name="Version Register" sheetId="6" r:id="R1190420a17cf45c4"/>
    <x:sheet xmlns:r="http://schemas.openxmlformats.org/officeDocument/2006/relationships" name="HQC - Kiến trúc" sheetId="7" r:id="R5445a468b76f4679"/>
    <x:sheet xmlns:r="http://schemas.openxmlformats.org/officeDocument/2006/relationships" name="5S - Kiến trúc" sheetId="8" r:id="R7dfde03ee6114f19"/>
  </x:sheets>
</x:workbook>
</file>

<file path=xl/sharedStrings.xml><?xml version="1.0" encoding="utf-8"?>
<x:sst xmlns:x="http://schemas.openxmlformats.org/spreadsheetml/2006/main">
  <x:si>
    <x:t xml:space="preserve">ARCHITECTURE CHANGE REGISTER — ver 05082026</x:t>
  </x:si>
  <x:si>
    <x:t xml:space="preserve">Thông tin</x:t>
  </x:si>
  <x:si>
    <x:t xml:space="preserve">Giá trị</x:t>
  </x:si>
  <x:si>
    <x:t xml:space="preserve">KPI</x:t>
  </x:si>
  <x:si>
    <x:t xml:space="preserve">HQC</x:t>
  </x:si>
  <x:si>
    <x:t xml:space="preserve">5S</x:t>
  </x:si>
  <x:si>
    <x:t xml:space="preserve">Tổng</x:t>
  </x:si>
  <x:si>
    <x:t xml:space="preserve">Ghi chú</x:t>
  </x:si>
  <x:si>
    <x:t xml:space="preserve">Ngày cập nhật</x:t>
  </x:si>
  <x:si>
    <x:t xml:space="preserve">Số thay đổi</x:t>
  </x:si>
  <x:si>
    <x:t xml:space="preserve">Các dòng thay đổi kiến trúc</x:t>
  </x:si>
  <x:si>
    <x:t xml:space="preserve">Phiên bản trước</x:t>
  </x:si>
  <x:si>
    <x:t xml:space="preserve">ver 03082026</x:t>
  </x:si>
  <x:si>
    <x:t xml:space="preserve">Major</x:t>
  </x:si>
  <x:si>
    <x:t xml:space="preserve">Thay đổi tác động lớn</x:t>
  </x:si>
  <x:si>
    <x:t xml:space="preserve">Phiên bản hiện tại</x:t>
  </x:si>
  <x:si>
    <x:t xml:space="preserve">ver 05082026</x:t>
  </x:si>
  <x:si>
    <x:t xml:space="preserve">P0</x:t>
  </x:si>
  <x:si>
    <x:t xml:space="preserve">Ưu tiên triển khai ngay</x:t>
  </x:si>
  <x:si>
    <x:t xml:space="preserve">Phạm vi</x:t>
  </x:si>
  <x:si>
    <x:t xml:space="preserve">HQC AIMS Platform; 5SOffice AI Agent/Webapp</x:t>
  </x:si>
  <x:si>
    <x:t xml:space="preserve">Đã chấp nhận</x:t>
  </x:si>
  <x:si>
    <x:t xml:space="preserve">Architecture Decision Records</x:t>
  </x:si>
  <x:si>
    <x:t xml:space="preserve">Nguồn cải tiến chính</x:t>
  </x:si>
  <x:si>
    <x:t xml:space="preserve">KiroCrew patterns; AWS Task-Aware Knowledge Compression (TAKC)</x:t>
  </x:si>
  <x:si>
    <x:t xml:space="preserve">Backlog chưa bắt đầu</x:t>
  </x:si>
  <x:si>
    <x:t xml:space="preserve">Bao gồm backlog dùng chung</x:t>
  </x:si>
  <x:si>
    <x:t xml:space="preserve">Kết luận kiến trúc</x:t>
  </x:si>
  <x:si>
    <x:t xml:space="preserve">HQC AIMS Platform</x:t>
  </x:si>
  <x:si>
    <x:t xml:space="preserve">Áp dụng chính thức: task-aware knowledge views, hybrid compression + RAG evidence, provenance, validation, persistent workspace và long-running task controls.</x:t>
  </x:si>
  <x:si>
    <x:t xml:space="preserve">5SOffice AI Agent/Webapp</x:t>
  </x:si>
  <x:si>
    <x:t xml:space="preserve">Áp dụng nhẹ: 5 knowledge views, 2 mức context, live operational data qua API/database, persistent workspace theo lead journey và handoff sang sale.</x:t>
  </x:si>
  <x:si>
    <x:t xml:space="preserve">Nguyên tắc chung</x:t>
  </x:si>
  <x:si>
    <x:t xml:space="preserve">Không thay thế stack đã chốt; không phụ thuộc bắt buộc AWS; mọi kết luận quan trọng phải truy ngược được nguồn.</x:t>
  </x:si>
  <x:si>
    <x:t xml:space="preserve">Mức độ triển khai</x:t>
  </x:si>
  <x:si>
    <x:t xml:space="preserve">HQC ưu tiên P0/P1 trong platform roadmap; 5S chỉ triển khai khi tạo giá trị trực tiếp cho sales, booking, service và content.</x:t>
  </x:si>
  <x:si>
    <x:t xml:space="preserve">Quản lý phiên bản</x:t>
  </x:si>
  <x:si>
    <x:t xml:space="preserve">ver 05082026 hợp nhất các cải tiến tiếp nhận ngày 05/08/2026 từ KiroCrew và AWS TAKC.</x:t>
  </x:si>
  <x:si>
    <x:t xml:space="preserve">Nguồn tham khảo: https://aws.amazon.com/blogs/machine-learning/beyond-rag-task-aware-knowledge-compression-for-enterprise-ai-on-aws/ | KiroCrew (Kiro/AWS open-source project).</x:t>
  </x:si>
  <x:si>
    <x:t xml:space="preserve">HQC AIMS Platform — So sánh ver 03082026 với ver 05082026</x:t>
  </x:si>
  <x:si>
    <x:t xml:space="preserve">Mỗi dòng là một thay đổi kiến trúc. Có thể lọc theo Impact, Decision, Priority, Owner hoặc Status.</x:t>
  </x:si>
  <x:si>
    <x:t xml:space="preserve">Change ID</x:t>
  </x:si>
  <x:si>
    <x:t xml:space="preserve">Architecture Area</x:t>
  </x:si>
  <x:si>
    <x:t xml:space="preserve">Impact</x:t>
  </x:si>
  <x:si>
    <x:t xml:space="preserve">Decision</x:t>
  </x:si>
  <x:si>
    <x:t xml:space="preserve">Rationale / Benefit</x:t>
  </x:si>
  <x:si>
    <x:t xml:space="preserve">Affected Components</x:t>
  </x:si>
  <x:si>
    <x:t xml:space="preserve">Implementation Note</x:t>
  </x:si>
  <x:si>
    <x:t xml:space="preserve">Priority</x:t>
  </x:si>
  <x:si>
    <x:t xml:space="preserve">Owner</x:t>
  </x:si>
  <x:si>
    <x:t xml:space="preserve">Status</x:t>
  </x:si>
  <x:si>
    <x:t xml:space="preserve">Source</x:t>
  </x:si>
  <x:si>
    <x:t xml:space="preserve">HQC-0508-01</x:t>
  </x:si>
  <x:si>
    <x:t xml:space="preserve">Knowledge Architecture</x:t>
  </x:si>
  <x:si>
    <x:t xml:space="preserve">RAG/pgvector tập trung retrieval theo chunk và evidence</x:t>
  </x:si>
  <x:si>
    <x:t xml:space="preserve">Bổ sung Task-Aware Knowledge Views: compliance, risk, audit, management, project</x:t>
  </x:si>
  <x:si>
    <x:t xml:space="preserve">Adopt</x:t>
  </x:si>
  <x:si>
    <x:t xml:space="preserve">Tăng khả năng suy luận liên tài liệu; phục vụ đúng từng nghiệp vụ AIMS</x:t>
  </x:si>
  <x:si>
    <x:t xml:space="preserve">Knowledge Service; Agent Orchestrator; PostgreSQL/pgvector</x:t>
  </x:si>
  <x:si>
    <x:t xml:space="preserve">Thiết kế taxonomy task_type và schema knowledge_artifact</x:t>
  </x:si>
  <x:si>
    <x:t xml:space="preserve">Architecture</x:t>
  </x:si>
  <x:si>
    <x:t xml:space="preserve">Planned</x:t>
  </x:si>
  <x:si>
    <x:t xml:space="preserve">AWS TAKC</x:t>
  </x:si>
  <x:si>
    <x:t xml:space="preserve">HQC-0508-02</x:t>
  </x:si>
  <x:si>
    <x:t xml:space="preserve">Retrieval &amp; Reasoning</x:t>
  </x:si>
  <x:si>
    <x:t xml:space="preserve">RAG là luồng chính để lấy context</x:t>
  </x:si>
  <x:si>
    <x:t xml:space="preserve">Hybrid TAKC-like compression + RAG: bản nén để tổng hợp, RAG để truy nguồn</x:t>
  </x:si>
  <x:si>
    <x:t xml:space="preserve">Giảm context/token nhưng vẫn bảo đảm audit trail</x:t>
  </x:si>
  <x:si>
    <x:t xml:space="preserve">Query Router; Retrieval Service; Evidence Service</x:t>
  </x:si>
  <x:si>
    <x:t xml:space="preserve">Xây query complexity analyzer và dual-context response</x:t>
  </x:si>
  <x:si>
    <x:t xml:space="preserve">AI Platform</x:t>
  </x:si>
  <x:si>
    <x:t xml:space="preserve">HQC-0508-03</x:t>
  </x:si>
  <x:si>
    <x:t xml:space="preserve">Processing Pipeline</x:t>
  </x:si>
  <x:si>
    <x:t xml:space="preserve">Ingestion và indexing tài liệu nền tảng</x:t>
  </x:si>
  <x:si>
    <x:t xml:space="preserve">Tách offline ingestion/compression khỏi online query</x:t>
  </x:si>
  <x:si>
    <x:t xml:space="preserve">Medium</x:t>
  </x:si>
  <x:si>
    <x:t xml:space="preserve">Giảm độ trễ query; dễ scale và kiểm soát reprocessing</x:t>
  </x:si>
  <x:si>
    <x:t xml:space="preserve">BullMQ/Redis workers; Object Storage; API</x:t>
  </x:si>
  <x:si>
    <x:t xml:space="preserve">Tạo job types: parse, classify, compress, validate, publish</x:t>
  </x:si>
  <x:si>
    <x:t xml:space="preserve">Backend</x:t>
  </x:si>
  <x:si>
    <x:t xml:space="preserve">HQC-0508-04</x:t>
  </x:si>
  <x:si>
    <x:t xml:space="preserve">Knowledge Granularity</x:t>
  </x:si>
  <x:si>
    <x:t xml:space="preserve">Một dạng chunk/context chủ đạo</x:t>
  </x:si>
  <x:si>
    <x:t xml:space="preserve">Nhiều mức chi tiết: Summary, Standard, Detailed, Full Evidence</x:t>
  </x:si>
  <x:si>
    <x:t xml:space="preserve">Adopt with adaptation</x:t>
  </x:si>
  <x:si>
    <x:t xml:space="preserve">Định tuyến chi phí/chất lượng theo độ phức tạp câu hỏi</x:t>
  </x:si>
  <x:si>
    <x:t xml:space="preserve">Knowledge Store; Query Router</x:t>
  </x:si>
  <x:si>
    <x:t xml:space="preserve">MVP dùng 3 mức; Full Evidence truy nguồn trực tiếp</x:t>
  </x:si>
  <x:si>
    <x:t xml:space="preserve">P1</x:t>
  </x:si>
  <x:si>
    <x:t xml:space="preserve">HQC-0508-05</x:t>
  </x:si>
  <x:si>
    <x:t xml:space="preserve">Evidence &amp; Provenance</x:t>
  </x:si>
  <x:si>
    <x:t xml:space="preserve">Evidence immutability và liên kết tài liệu đã có trong kiến trúc</x:t>
  </x:si>
  <x:si>
    <x:t xml:space="preserve">Mỗi knowledge artifact phải giữ source IDs, version, prompt, model, timestamp, validation</x:t>
  </x:si>
  <x:si>
    <x:t xml:space="preserve">Ngăn bản nén trở thành nguồn kết luận không thể kiểm chứng</x:t>
  </x:si>
  <x:si>
    <x:t xml:space="preserve">Evidence Architecture; Audit Log</x:t>
  </x:si>
  <x:si>
    <x:t xml:space="preserve">Mở rộng metadata và API lineage</x:t>
  </x:si>
  <x:si>
    <x:t xml:space="preserve">Governance</x:t>
  </x:si>
  <x:si>
    <x:t xml:space="preserve">HQC-0508-06</x:t>
  </x:si>
  <x:si>
    <x:t xml:space="preserve">Validation</x:t>
  </x:si>
  <x:si>
    <x:t xml:space="preserve">Validation tập trung workflow và evidence</x:t>
  </x:si>
  <x:si>
    <x:t xml:space="preserve">Thêm benchmark theo task và so sánh compressed context với full source</x:t>
  </x:si>
  <x:si>
    <x:t xml:space="preserve">Kiểm soát mất chi tiết, sai số, hallucination khi nén</x:t>
  </x:si>
  <x:si>
    <x:t xml:space="preserve">Evaluation Service; Test datasets</x:t>
  </x:si>
  <x:si>
    <x:t xml:space="preserve">Tạo golden set cho compliance/risk/audit</x:t>
  </x:si>
  <x:si>
    <x:t xml:space="preserve">QA/AI Governance</x:t>
  </x:si>
  <x:si>
    <x:t xml:space="preserve">HQC-0508-07</x:t>
  </x:si>
  <x:si>
    <x:t xml:space="preserve">Knowledge Lifecycle</x:t>
  </x:si>
  <x:si>
    <x:t xml:space="preserve">Re-index khi tài liệu thay đổi</x:t>
  </x:si>
  <x:si>
    <x:t xml:space="preserve">Recompress khi source, prompt, model hoặc taxonomy thay đổi; đánh dấu stale</x:t>
  </x:si>
  <x:si>
    <x:t xml:space="preserve">Quản lý vòng đời knowledge artifact minh bạch</x:t>
  </x:si>
  <x:si>
    <x:t xml:space="preserve">Job Scheduler; Metadata; Notifications</x:t>
  </x:si>
  <x:si>
    <x:t xml:space="preserve">Xây stale detection và reprocessing policy</x:t>
  </x:si>
  <x:si>
    <x:t xml:space="preserve">HQC-0508-08</x:t>
  </x:si>
  <x:si>
    <x:t xml:space="preserve">Agent Workspace</x:t>
  </x:si>
  <x:si>
    <x:t xml:space="preserve">Agent chạy theo session/task thông thường</x:t>
  </x:si>
  <x:si>
    <x:t xml:space="preserve">Persistent workspace cho agent và task dài hạn</x:t>
  </x:si>
  <x:si>
    <x:t xml:space="preserve">Adopt selectively</x:t>
  </x:si>
  <x:si>
    <x:t xml:space="preserve">Agent có thể tiếp tục công việc nhiều bước, không mất trạng thái</x:t>
  </x:si>
  <x:si>
    <x:t xml:space="preserve">Agent Gateway; Workspace Store; Checkpoints</x:t>
  </x:si>
  <x:si>
    <x:t xml:space="preserve">Thiết kế workspace_id, task state và retention</x:t>
  </x:si>
  <x:si>
    <x:t xml:space="preserve">Agent Platform</x:t>
  </x:si>
  <x:si>
    <x:t xml:space="preserve">KiroCrew</x:t>
  </x:si>
  <x:si>
    <x:t xml:space="preserve">HQC-0508-09</x:t>
  </x:si>
  <x:si>
    <x:t xml:space="preserve">Orchestration</x:t>
  </x:si>
  <x:si>
    <x:t xml:space="preserve">Điều phối agent đã có ở mức kiến trúc tổng quát</x:t>
  </x:si>
  <x:si>
    <x:t xml:space="preserve">Bổ sung Gateway điều phối nhiều agent/session và phân công nhiệm vụ</x:t>
  </x:si>
  <x:si>
    <x:t xml:space="preserve">Tách coordination khỏi từng agent; hỗ trợ mở rộng</x:t>
  </x:si>
  <x:si>
    <x:t xml:space="preserve">Agent Gateway; Orchestrator</x:t>
  </x:si>
  <x:si>
    <x:t xml:space="preserve">Định nghĩa routing, ownership, handoff và concurrency</x:t>
  </x:si>
  <x:si>
    <x:t xml:space="preserve">HQC-0508-10</x:t>
  </x:si>
  <x:si>
    <x:t xml:space="preserve">Long-running Tasks</x:t>
  </x:si>
  <x:si>
    <x:t xml:space="preserve">Workflow có approval và background jobs</x:t>
  </x:si>
  <x:si>
    <x:t xml:space="preserve">Thêm checkpoint, validation gate, retry và resumability cho task dài hạn</x:t>
  </x:si>
  <x:si>
    <x:t xml:space="preserve">Tăng độ tin cậy cho assessment, evidence collection, report generation</x:t>
  </x:si>
  <x:si>
    <x:t xml:space="preserve">Workflow Engine; BullMQ; Audit Log</x:t>
  </x:si>
  <x:si>
    <x:t xml:space="preserve">Chuẩn hóa task state machine</x:t>
  </x:si>
  <x:si>
    <x:t xml:space="preserve">HQC-0508-11</x:t>
  </x:si>
  <x:si>
    <x:t xml:space="preserve">Security</x:t>
  </x:si>
  <x:si>
    <x:t xml:space="preserve">RBAC, audit log và agent identity đã được định hướng</x:t>
  </x:si>
  <x:si>
    <x:t xml:space="preserve">Gắn identity/owner/quyền/trạng thái vòng đời cho workspace và sub-agent</x:t>
  </x:si>
  <x:si>
    <x:t xml:space="preserve">Hỗ trợ Agent Identity governance và truy trách nhiệm</x:t>
  </x:si>
  <x:si>
    <x:t xml:space="preserve">IAM; Agent Registry; Audit</x:t>
  </x:si>
  <x:si>
    <x:t xml:space="preserve">Liên kết agent register với workspace/task</x:t>
  </x:si>
  <x:si>
    <x:t xml:space="preserve">Security/Governance</x:t>
  </x:si>
  <x:si>
    <x:t xml:space="preserve">KiroCrew + Agent Identity</x:t>
  </x:si>
  <x:si>
    <x:t xml:space="preserve">HQC-0508-12</x:t>
  </x:si>
  <x:si>
    <x:t xml:space="preserve">Technology Stack</x:t>
  </x:si>
  <x:si>
    <x:t xml:space="preserve">NestJS, Next.js, PostgreSQL+pgvector, S3, Redis/BullMQ, OTel</x:t>
  </x:si>
  <x:si>
    <x:t xml:space="preserve">Giữ nguyên stack; không phụ thuộc bắt buộc AWS Bedrock/ElastiCache</x:t>
  </x:si>
  <x:si>
    <x:t xml:space="preserve">No change</x:t>
  </x:si>
  <x:si>
    <x:t xml:space="preserve">Keep</x:t>
  </x:si>
  <x:si>
    <x:t xml:space="preserve">Giảm lock-in; tận dụng kiến trúc đã chốt</x:t>
  </x:si>
  <x:si>
    <x:t xml:space="preserve">All platform components</x:t>
  </x:si>
  <x:si>
    <x:t xml:space="preserve">Chỉ dùng AWS services khi có business case</x:t>
  </x:si>
  <x:si>
    <x:t xml:space="preserve">P2</x:t>
  </x:si>
  <x:si>
    <x:t xml:space="preserve">Accepted</x:t>
  </x:si>
  <x:si>
    <x:t xml:space="preserve">Architecture decision</x:t>
  </x:si>
  <x:si>
    <x:t xml:space="preserve">5SOffice AI Agent/Webapp — So sánh ver 03082026 với ver 05082026</x:t>
  </x:si>
  <x:si>
    <x:t xml:space="preserve">5S-0508-01</x:t>
  </x:si>
  <x:si>
    <x:t xml:space="preserve">RAG/knowledge base chung cho nội dung và dịch vụ</x:t>
  </x:si>
  <x:si>
    <x:t xml:space="preserve">Tạo task-aware views: sales, quotation, booking, customer-service, content</x:t>
  </x:si>
  <x:si>
    <x:t xml:space="preserve">Adopt lightweight</x:t>
  </x:si>
  <x:si>
    <x:t xml:space="preserve">Agent trả lời đúng ngữ cảnh nghiệp vụ và giảm nhiễu</x:t>
  </x:si>
  <x:si>
    <x:t xml:space="preserve">Knowledge Service; Sales Agent; Content Agent</x:t>
  </x:si>
  <x:si>
    <x:t xml:space="preserve">Xây taxonomy và prompt cho 5 views</x:t>
  </x:si>
  <x:si>
    <x:t xml:space="preserve">AI Product</x:t>
  </x:si>
  <x:si>
    <x:t xml:space="preserve">5S-0508-02</x:t>
  </x:si>
  <x:si>
    <x:t xml:space="preserve">Một mức context chính</x:t>
  </x:si>
  <x:si>
    <x:t xml:space="preserve">Chỉ dùng 2 mức ban đầu: Summary và Detailed</x:t>
  </x:si>
  <x:si>
    <x:t xml:space="preserve">Adopt with simplification</x:t>
  </x:si>
  <x:si>
    <x:t xml:space="preserve">Đủ giá trị mà tránh over-engineering</x:t>
  </x:si>
  <x:si>
    <x:t xml:space="preserve">Chưa triển khai 4 mức 8x–64x</x:t>
  </x:si>
  <x:si>
    <x:t xml:space="preserve">5S-0508-03</x:t>
  </x:si>
  <x:si>
    <x:t xml:space="preserve">Live Data Boundary</x:t>
  </x:si>
  <x:si>
    <x:t xml:space="preserve">Knowledge có thể chứa cả thông tin dịch vụ và dữ liệu vận hành</x:t>
  </x:si>
  <x:si>
    <x:t xml:space="preserve">Giá, tồn phòng, booking, lead, hợp đồng phải lấy trực tiếp từ API/database</x:t>
  </x:si>
  <x:si>
    <x:t xml:space="preserve">Ngăn trả giá hoặc tình trạng phòng lỗi thời</x:t>
  </x:si>
  <x:si>
    <x:t xml:space="preserve">Pricing API; Booking API; CRM/Lead Service</x:t>
  </x:si>
  <x:si>
    <x:t xml:space="preserve">Định nghĩa source-of-truth matrix</x:t>
  </x:si>
  <x:si>
    <x:t xml:space="preserve">Backend/Product</x:t>
  </x:si>
  <x:si>
    <x:t xml:space="preserve">Hybrid architecture</x:t>
  </x:si>
  <x:si>
    <x:t xml:space="preserve">5S-0508-04</x:t>
  </x:si>
  <x:si>
    <x:t xml:space="preserve">RAG cho tra cứu thông tin</x:t>
  </x:si>
  <x:si>
    <x:t xml:space="preserve">Kết hợp knowledge view + RAG citation + tool/API calls</x:t>
  </x:si>
  <x:si>
    <x:t xml:space="preserve">Vừa tư vấn tốt vừa dùng dữ liệu vận hành hiện thời</x:t>
  </x:si>
  <x:si>
    <x:t xml:space="preserve">Agent Orchestrator; Tool Gateway</x:t>
  </x:si>
  <x:si>
    <x:t xml:space="preserve">Thiết kế response flow và fallback</x:t>
  </x:si>
  <x:si>
    <x:t xml:space="preserve">5S-0508-05</x:t>
  </x:si>
  <x:si>
    <x:t xml:space="preserve">Ingestion</x:t>
  </x:si>
  <x:si>
    <x:t xml:space="preserve">Nạp nội dung website/tài liệu vào knowledge base</x:t>
  </x:si>
  <x:si>
    <x:t xml:space="preserve">Tách ingestion offline và query online; tái xử lý khi nội dung thay đổi</x:t>
  </x:si>
  <x:si>
    <x:t xml:space="preserve">Giảm độ trễ và quản lý phiên bản nội dung</x:t>
  </x:si>
  <x:si>
    <x:t xml:space="preserve">Workers; CMS/Web crawler; Object Storage</x:t>
  </x:si>
  <x:si>
    <x:t xml:space="preserve">Tạo content version và publish status</x:t>
  </x:si>
  <x:si>
    <x:t xml:space="preserve">5S-0508-06</x:t>
  </x:si>
  <x:si>
    <x:t xml:space="preserve">Provenance</x:t>
  </x:si>
  <x:si>
    <x:t xml:space="preserve">Trả lời dựa trên nội dung dịch vụ</x:t>
  </x:si>
  <x:si>
    <x:t xml:space="preserve">Lưu URL nguồn, content version, thời điểm cập nhật và citation</x:t>
  </x:si>
  <x:si>
    <x:t xml:space="preserve">Hỗ trợ kiểm tra nội dung, SEO/AEO/GEO và trách nhiệm thông tin</x:t>
  </x:si>
  <x:si>
    <x:t xml:space="preserve">Content Service; Audit Log</x:t>
  </x:si>
  <x:si>
    <x:t xml:space="preserve">Thêm metadata source_url và last_verified_at</x:t>
  </x:si>
  <x:si>
    <x:t xml:space="preserve">Content/AI</x:t>
  </x:si>
  <x:si>
    <x:t xml:space="preserve">5S-0508-07</x:t>
  </x:si>
  <x:si>
    <x:t xml:space="preserve">Agent chủ yếu xử lý từng hội thoại</x:t>
  </x:si>
  <x:si>
    <x:t xml:space="preserve">Persistent workspace nhẹ cho lead/quote/booking journey</x:t>
  </x:si>
  <x:si>
    <x:t xml:space="preserve">Giữ ngữ cảnh hành trình khách hàng và các bước chưa hoàn tất</x:t>
  </x:si>
  <x:si>
    <x:t xml:space="preserve">Agent Gateway; Lead Store</x:t>
  </x:si>
  <x:si>
    <x:t xml:space="preserve">Workspace gắn lead_id, session, pending actions</x:t>
  </x:si>
  <x:si>
    <x:t xml:space="preserve">5S-0508-08</x:t>
  </x:si>
  <x:si>
    <x:t xml:space="preserve">Sales/Booking/Support Agent được định hướng</x:t>
  </x:si>
  <x:si>
    <x:t xml:space="preserve">Gateway điều phối agent và handoff sang sale/người thật</x:t>
  </x:si>
  <x:si>
    <x:t xml:space="preserve">Giảm logic chồng chéo; quản lý escalation rõ ràng</x:t>
  </x:si>
  <x:si>
    <x:t xml:space="preserve">Agent Gateway; Human-in-the-loop Cockpit</x:t>
  </x:si>
  <x:si>
    <x:t xml:space="preserve">Định nghĩa handoff conditions và owner</x:t>
  </x:si>
  <x:si>
    <x:t xml:space="preserve">5S-0508-09</x:t>
  </x:si>
  <x:si>
    <x:t xml:space="preserve">Các tác vụ đa phần ngắn</x:t>
  </x:si>
  <x:si>
    <x:t xml:space="preserve">Chỉ dùng checkpoint/retry cho quote, booking, follow-up và content jobs</x:t>
  </x:si>
  <x:si>
    <x:t xml:space="preserve">Tăng độ tin cậy ở điểm có giá trị; không làm hệ thống quá phức tạp</x:t>
  </x:si>
  <x:si>
    <x:t xml:space="preserve">Workflow/Queue; Notifications</x:t>
  </x:si>
  <x:si>
    <x:t xml:space="preserve">Không áp dụng cho FAQ đơn giản</x:t>
  </x:si>
  <x:si>
    <x:t xml:space="preserve">5S-0508-10</x:t>
  </x:si>
  <x:si>
    <x:t xml:space="preserve">Webapp và các service hiện có; tận dụng repo cockpit</x:t>
  </x:si>
  <x:si>
    <x:t xml:space="preserve">Không chuyển bắt buộc sang AWS; dùng PostgreSQL/pgvector, object storage, Redis/worker phù hợp</x:t>
  </x:si>
  <x:si>
    <x:t xml:space="preserve">Kiểm soát chi phí và tận dụng tài sản sẵn có</x:t>
  </x:si>
  <x:si>
    <x:t xml:space="preserve">5S Webapp; Customer Service Cockpit</x:t>
  </x:si>
  <x:si>
    <x:t xml:space="preserve">Triển khai theo nhu cầu thực tế</x:t>
  </x:si>
  <x:si>
    <x:t xml:space="preserve">IMPLEMENTATION BACKLOG — ver 05082026</x:t>
  </x:si>
  <x:si>
    <x:t xml:space="preserve">Backlog chuyển các thay đổi kiến trúc thành hạng mục có thể giao việc và nghiệm thu.</x:t>
  </x:si>
  <x:si>
    <x:t xml:space="preserve">Backlog ID</x:t>
  </x:si>
  <x:si>
    <x:t xml:space="preserve">Project</x:t>
  </x:si>
  <x:si>
    <x:t xml:space="preserve">Work Item</x:t>
  </x:si>
  <x:si>
    <x:t xml:space="preserve">Related Change IDs</x:t>
  </x:si>
  <x:si>
    <x:t xml:space="preserve">Acceptance Criteria</x:t>
  </x:si>
  <x:si>
    <x:t xml:space="preserve">BL-001</x:t>
  </x:si>
  <x:si>
    <x:t xml:space="preserve">Xây schema knowledge_artifact và lineage</x:t>
  </x:si>
  <x:si>
    <x:t xml:space="preserve">Architecture/Backend</x:t>
  </x:si>
  <x:si>
    <x:t xml:space="preserve">Not Started</x:t>
  </x:si>
  <x:si>
    <x:t xml:space="preserve">HQC-0508-01; HQC-0508-05</x:t>
  </x:si>
  <x:si>
    <x:t xml:space="preserve">Mỗi artifact truy ngược được source/version/prompt/model</x:t>
  </x:si>
  <x:si>
    <x:t xml:space="preserve">BL-002</x:t>
  </x:si>
  <x:si>
    <x:t xml:space="preserve">Thiết kế Task-Aware Knowledge Views v1</x:t>
  </x:si>
  <x:si>
    <x:t xml:space="preserve">Có 5 view: compliance, risk, audit, management, project</x:t>
  </x:si>
  <x:si>
    <x:t xml:space="preserve">BL-003</x:t>
  </x:si>
  <x:si>
    <x:t xml:space="preserve">Xây query complexity router MVP</x:t>
  </x:si>
  <x:si>
    <x:t xml:space="preserve">HQC-0508-02; HQC-0508-04</x:t>
  </x:si>
  <x:si>
    <x:t xml:space="preserve">Định tuyến tối thiểu 3 cấp context</x:t>
  </x:si>
  <x:si>
    <x:t xml:space="preserve">BL-004</x:t>
  </x:si>
  <x:si>
    <x:t xml:space="preserve">Tạo golden evaluation set</x:t>
  </x:si>
  <x:si>
    <x:t xml:space="preserve">Có dataset và tiêu chí pass/fail cho 3 task chính</x:t>
  </x:si>
  <x:si>
    <x:t xml:space="preserve">BL-005</x:t>
  </x:si>
  <x:si>
    <x:t xml:space="preserve">Thiết kế long-running task state machine</x:t>
  </x:si>
  <x:si>
    <x:t xml:space="preserve">Checkpoint, retry, validation, resume có audit log</x:t>
  </x:si>
  <x:si>
    <x:t xml:space="preserve">BL-006</x:t>
  </x:si>
  <x:si>
    <x:t xml:space="preserve">Thiết kế persistent agent workspace</x:t>
  </x:si>
  <x:si>
    <x:t xml:space="preserve">HQC-0508-08; HQC-0508-09</x:t>
  </x:si>
  <x:si>
    <x:t xml:space="preserve">Workspace hỗ trợ session, task, ownership và retention</x:t>
  </x:si>
  <x:si>
    <x:t xml:space="preserve">BL-007</x:t>
  </x:si>
  <x:si>
    <x:t xml:space="preserve">Xây source-of-truth matrix</x:t>
  </x:si>
  <x:si>
    <x:t xml:space="preserve">Product/Backend</x:t>
  </x:si>
  <x:si>
    <x:t xml:space="preserve">Phân định rõ knowledge vs live API cho từng trường dữ liệu</x:t>
  </x:si>
  <x:si>
    <x:t xml:space="preserve">BL-008</x:t>
  </x:si>
  <x:si>
    <x:t xml:space="preserve">Thiết kế 5 knowledge views</x:t>
  </x:si>
  <x:si>
    <x:t xml:space="preserve">Prompt/schema được duyệt cho sales, quotation, booking, service, content</x:t>
  </x:si>
  <x:si>
    <x:t xml:space="preserve">BL-009</x:t>
  </x:si>
  <x:si>
    <x:t xml:space="preserve">Thiết kế agent handoff và HITL</x:t>
  </x:si>
  <x:si>
    <x:t xml:space="preserve">Có điều kiện chuyển sale, owner và SLA</x:t>
  </x:si>
  <x:si>
    <x:t xml:space="preserve">BL-010</x:t>
  </x:si>
  <x:si>
    <x:t xml:space="preserve">Persistent workspace cho lead journey</x:t>
  </x:si>
  <x:si>
    <x:t xml:space="preserve">Lưu lead_id, nhu cầu, phương án, pending action</x:t>
  </x:si>
  <x:si>
    <x:t xml:space="preserve">BL-011</x:t>
  </x:si>
  <x:si>
    <x:t xml:space="preserve">Both</x:t>
  </x:si>
  <x:si>
    <x:t xml:space="preserve">Chính sách stale/reprocessing</x:t>
  </x:si>
  <x:si>
    <x:t xml:space="preserve">HQC-0508-07; 5S-0508-05</x:t>
  </x:si>
  <x:si>
    <x:t xml:space="preserve">Tự phát hiện nội dung/prompt/model thay đổi và tạo job tái xử lý</x:t>
  </x:si>
  <x:si>
    <x:t xml:space="preserve">BL-012</x:t>
  </x:si>
  <x:si>
    <x:t xml:space="preserve">Quan sát chi phí và chất lượng context</x:t>
  </x:si>
  <x:si>
    <x:t xml:space="preserve">Observability</x:t>
  </x:si>
  <x:si>
    <x:t xml:space="preserve">HQC-0508-02; 5S-0508-02</x:t>
  </x:si>
  <x:si>
    <x:t xml:space="preserve">Dashboard token, latency, citation coverage, answer quality</x:t>
  </x:si>
  <x:si>
    <x:t xml:space="preserve">ARCHITECTURE DECISION LOG — ver 05082026</x:t>
  </x:si>
  <x:si>
    <x:t xml:space="preserve">ADR ID</x:t>
  </x:si>
  <x:si>
    <x:t xml:space="preserve">Date</x:t>
  </x:si>
  <x:si>
    <x:t xml:space="preserve">Scope</x:t>
  </x:si>
  <x:si>
    <x:t xml:space="preserve">Reason</x:t>
  </x:si>
  <x:si>
    <x:t xml:space="preserve">Constraint / Follow-up</x:t>
  </x:si>
  <x:si>
    <x:t xml:space="preserve">ADR-0508-01</x:t>
  </x:si>
  <x:si>
    <x:t xml:space="preserve">2026-08-05</x:t>
  </x:si>
  <x:si>
    <x:t xml:space="preserve">Áp dụng Task-Aware Knowledge Compression theo hướng kiến trúc, không sao chép nguyên dịch vụ AWS</x:t>
  </x:si>
  <x:si>
    <x:t xml:space="preserve">Giữ tính độc lập nền tảng và tận dụng stack hiện tại</x:t>
  </x:si>
  <x:si>
    <x:t xml:space="preserve">Review sau benchmark MVP</x:t>
  </x:si>
  <x:si>
    <x:t xml:space="preserve">ADR-0508-02</x:t>
  </x:si>
  <x:si>
    <x:t xml:space="preserve">Hybrid compressed knowledge + RAG evidence là bắt buộc cho kết luận audit/compliance</x:t>
  </x:si>
  <x:si>
    <x:t xml:space="preserve">Bảo đảm provenance và auditability</x:t>
  </x:si>
  <x:si>
    <x:t xml:space="preserve">Không cho phép kết luận quan trọng chỉ dựa vào bản nén</x:t>
  </x:si>
  <x:si>
    <x:t xml:space="preserve">ADR-0508-03</x:t>
  </x:si>
  <x:si>
    <x:t xml:space="preserve">Không dùng knowledge cache làm nguồn giá/tồn phòng/booking</x:t>
  </x:si>
  <x:si>
    <x:t xml:space="preserve">Dữ liệu vận hành thay đổi nhanh</x:t>
  </x:si>
  <x:si>
    <x:t xml:space="preserve">Tool/API là source of truth</x:t>
  </x:si>
  <x:si>
    <x:t xml:space="preserve">ADR-0508-04</x:t>
  </x:si>
  <x:si>
    <x:t xml:space="preserve">Áp dụng persistent workspace và long-running task controls</x:t>
  </x:si>
  <x:si>
    <x:t xml:space="preserve">Phù hợp assessment, evidence collection và report generation</x:t>
  </x:si>
  <x:si>
    <x:t xml:space="preserve">Triển khai theo phase</x:t>
  </x:si>
  <x:si>
    <x:t xml:space="preserve">ADR-0508-05</x:t>
  </x:si>
  <x:si>
    <x:t xml:space="preserve">Áp dụng KiroCrew có chọn lọc, tập trung lead journey và handoff</x:t>
  </x:si>
  <x:si>
    <x:t xml:space="preserve">Tránh over-engineering</x:t>
  </x:si>
  <x:si>
    <x:t xml:space="preserve">Không áp dụng orchestration phức tạp cho FAQ</x:t>
  </x:si>
  <x:si>
    <x:t xml:space="preserve">ADR-0508-06</x:t>
  </x:si>
  <x:si>
    <x:t xml:space="preserve">Phiên bản gần nhất dùng để so sánh là ver 03082026</x:t>
  </x:si>
  <x:si>
    <x:t xml:space="preserve">Đây là version kiến trúc gần nhất đã chốt trước đợt cập nhật 05/08</x:t>
  </x:si>
  <x:si>
    <x:t xml:space="preserve">ver 05082026 hợp nhất KiroCrew và TAKC</x:t>
  </x:si>
  <x:si>
    <x:t xml:space="preserve">ARCHITECTURE VERSION REGISTER</x:t>
  </x:si>
  <x:si>
    <x:t xml:space="preserve">Version</x:t>
  </x:si>
  <x:si>
    <x:t xml:space="preserve">Role</x:t>
  </x:si>
  <x:si>
    <x:t xml:space="preserve">Main Content</x:t>
  </x:si>
  <x:si>
    <x:t xml:space="preserve">2026-08-03</x:t>
  </x:si>
  <x:si>
    <x:t xml:space="preserve">Baseline</x:t>
  </x:si>
  <x:si>
    <x:t xml:space="preserve">Vertical agents; proprietary data/workflow; long-running agent direction; security learnings; Agent Identity governance</x:t>
  </x:si>
  <x:si>
    <x:t xml:space="preserve">Superseded by ver 05082026</x:t>
  </x:si>
  <x:si>
    <x:t xml:space="preserve">Current</x:t>
  </x:si>
  <x:si>
    <x:t xml:space="preserve">Bổ sung KiroCrew patterns và Task-Aware Knowledge Compression/Hybrid RAG</x:t>
  </x:si>
  <x:si>
    <x:t xml:space="preserve">Active</x:t>
  </x:si>
  <x:si>
    <x:t xml:space="preserve">Vertical sales/service agents; proprietary data; live workflow; Agent Identity direction</x:t>
  </x:si>
  <x:si>
    <x:t xml:space="preserve">Task-aware knowledge views; live-data boundary; selective persistent workspace/orchestration</x:t>
  </x:si>
</x:sst>
</file>

<file path=xl/styles.xml><?xml version="1.0" encoding="utf-8"?>
<x:styleSheet xmlns:x="http://schemas.openxmlformats.org/spreadsheetml/2006/main">
  <x:numFmts count="1">
    <x:numFmt numFmtId="164" formatCode="dd/mm/yyyy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11"/>
      <x:color rgb="FF7F6000"/>
      <x:name val="Carlito"/>
    </x:font>
    <x:font>
      <x:b/>
      <x:sz val="18"/>
      <x:color rgb="FF5B6573"/>
      <x:name val="Carlito"/>
    </x:font>
    <x:font>
      <x:b/>
      <x:sz val="11"/>
      <x:color rgb="FF7F6000"/>
      <x:name val="Carlito"/>
    </x:font>
    <x:font>
      <x:b/>
      <x:sz val="11"/>
      <x:color rgb="FF375623"/>
      <x:name val="Carlito"/>
    </x:font>
    <x:font>
      <x:b/>
      <x:sz val="11"/>
      <x:color rgb="FF843C0C"/>
      <x:name val="Carlito"/>
    </x:font>
    <x:font>
      <x:i/>
      <x:sz val="11"/>
      <x:color rgb="FF595959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2F2F2"/>
      </x:patternFill>
    </x:fill>
  </x:fills>
  <x:borders count="73">
    <x:border/>
    <x:border/>
    <x:border/>
    <x:border/>
    <x:border/>
    <x:border/>
    <x:border/>
    <x:border/>
    <x:border/>
    <x:border/>
    <x:border/>
    <x:border/>
    <x:border/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</x:border>
    <x:border>
      <x:right/>
    </x:border>
    <x:border>
      <x:left/>
    </x:border>
    <x:border>
      <x:right/>
    </x:border>
  </x:borders>
  <x:cellStyleXfs count="1">
    <x:xf numFmtId="0" fontId="0" fillId="0" borderId="0"/>
  </x:cellStyleXfs>
  <x:cellXfs count="336">
    <x:xf numFmtId="0" fontId="0" fillId="0" borderId="0" xfId="0"/>
    <x:xf numFmtId="0" fontId="2" fillId="3" borderId="0" xfId="0" applyFont="1" applyFill="1" applyAlignment="1">
      <x:alignment horizontal="center" vertical="center" wrapText="1"/>
    </x:xf>
    <x:xf numFmtId="0" fontId="0" fillId="0" borderId="1" xfId="0" applyBorder="1"/>
    <x:xf numFmtId="0" fontId="0" fillId="0" borderId="3" xfId="0" applyBorder="1"/>
    <x:xf numFmtId="0" fontId="0" fillId="0" borderId="4" xfId="0" applyBorder="1"/>
    <x:xf numFmtId="0" fontId="0" fillId="0" borderId="5" xfId="0" applyBorder="1"/>
    <x:xf numFmtId="0" fontId="0" fillId="0" borderId="6" xfId="0" applyBorder="1"/>
    <x:xf numFmtId="164" fontId="0" fillId="0" borderId="2" xfId="0" applyNumberFormat="1" applyBorder="1"/>
    <x:xf numFmtId="0" fontId="0" fillId="0" borderId="1" xfId="0" applyBorder="1" applyAlignment="1">
      <x:alignment wrapText="1"/>
    </x:xf>
    <x:xf numFmtId="0" fontId="0" fillId="0" borderId="7" xfId="0" applyBorder="1" applyAlignment="1">
      <x:alignment wrapText="1"/>
    </x:xf>
    <x:xf numFmtId="0" fontId="0" fillId="0" borderId="2" xfId="0" applyBorder="1" applyAlignment="1">
      <x:alignment wrapText="1"/>
    </x:xf>
    <x:xf numFmtId="0" fontId="0" fillId="0" borderId="3" xfId="0" applyBorder="1" applyAlignment="1">
      <x:alignment wrapText="1"/>
    </x:xf>
    <x:xf numFmtId="0" fontId="0" fillId="0" borderId="0" xfId="0" applyAlignment="1">
      <x:alignment wrapText="1"/>
    </x:xf>
    <x:xf numFmtId="0" fontId="0" fillId="0" borderId="4" xfId="0" applyBorder="1" applyAlignment="1">
      <x:alignment wrapText="1"/>
    </x:xf>
    <x:xf numFmtId="0" fontId="0" fillId="0" borderId="5" xfId="0" applyBorder="1" applyAlignment="1">
      <x:alignment wrapText="1"/>
    </x:xf>
    <x:xf numFmtId="0" fontId="0" fillId="0" borderId="8" xfId="0" applyBorder="1" applyAlignment="1">
      <x:alignment wrapText="1"/>
    </x:xf>
    <x:xf numFmtId="0" fontId="0" fillId="0" borderId="6" xfId="0" applyBorder="1" applyAlignment="1">
      <x:alignment wrapText="1"/>
    </x:xf>
    <x:xf numFmtId="164" fontId="0" fillId="0" borderId="7" xfId="0" applyNumberFormat="1" applyBorder="1" applyAlignment="1">
      <x:alignment wrapText="1"/>
    </x:xf>
    <x:xf numFmtId="164" fontId="0" fillId="0" borderId="0" xfId="0" applyNumberFormat="1" applyAlignment="1">
      <x:alignment wrapText="1"/>
    </x:xf>
    <x:xf numFmtId="164" fontId="0" fillId="0" borderId="8" xfId="0" applyNumberFormat="1" applyBorder="1" applyAlignment="1">
      <x:alignment wrapText="1"/>
    </x:xf>
    <x:xf numFmtId="0" fontId="1" fillId="2" borderId="0" xfId="0" applyFont="1" applyFill="1" applyAlignment="1">
      <x:alignment horizontal="left" vertical="top"/>
    </x:xf>
    <x:xf numFmtId="0" fontId="3" fillId="4" borderId="0" xfId="0" applyFont="1" applyFill="1" applyAlignment="1">
      <x:alignment horizontal="left" vertical="center"/>
    </x:xf>
    <x:xf numFmtId="0" fontId="3" fillId="0" borderId="9" xfId="0" applyFont="1" applyBorder="1" applyAlignment="1">
      <x:alignment wrapText="1"/>
    </x:xf>
    <x:xf numFmtId="0" fontId="3" fillId="0" borderId="10" xfId="0" applyFont="1" applyBorder="1" applyAlignment="1">
      <x:alignment wrapText="1"/>
    </x:xf>
    <x:xf numFmtId="0" fontId="0" fillId="0" borderId="10" xfId="0" applyBorder="1" applyAlignment="1">
      <x:alignment wrapText="1"/>
    </x:xf>
    <x:xf numFmtId="0" fontId="0" fillId="0" borderId="11" xfId="0" applyBorder="1" applyAlignment="1">
      <x:alignment wrapText="1"/>
    </x:xf>
    <x:xf numFmtId="0" fontId="4" fillId="5" borderId="0" xfId="0" applyFont="1" applyFill="1" applyAlignment="1">
      <x:alignment wrapText="1"/>
    </x:xf>
    <x:xf numFmtId="0" fontId="1" fillId="2" borderId="0" xfId="0" applyFont="1" applyFill="1" applyAlignment="1">
      <x:alignment horizontal="left" vertical="center"/>
    </x:xf>
    <x:xf numFmtId="0" fontId="0" fillId="0" borderId="12" xfId="0" applyNumberFormat="1" applyFont="1" applyFill="1" applyBorder="1"/>
    <x:xf numFmtId="0" fontId="2" fillId="3" borderId="12" xfId="0" applyNumberFormat="1" applyFont="1" applyFill="1" applyBorder="1" applyAlignment="1">
      <x:alignment horizontal="center" vertical="center" wrapText="1"/>
    </x:xf>
    <x:xf numFmtId="164" fontId="0" fillId="0" borderId="12" xfId="0" applyNumberFormat="1" applyFont="1" applyFill="1" applyBorder="1"/>
    <x:xf numFmtId="0" fontId="0" fillId="0" borderId="12" xfId="0" applyNumberFormat="1" applyFont="1" applyFill="1" applyBorder="1" applyAlignment="1">
      <x:alignment wrapText="1"/>
    </x:xf>
    <x:xf numFmtId="164" fontId="0" fillId="0" borderId="12" xfId="0" applyNumberFormat="1" applyFont="1" applyFill="1" applyBorder="1" applyAlignment="1">
      <x:alignment wrapText="1"/>
    </x:xf>
    <x:xf numFmtId="0" fontId="1" fillId="2" borderId="12" xfId="0" applyNumberFormat="1" applyFont="1" applyFill="1" applyBorder="1" applyAlignment="1">
      <x:alignment horizontal="left" vertical="top"/>
    </x:xf>
    <x:xf numFmtId="0" fontId="3" fillId="4" borderId="12" xfId="0" applyNumberFormat="1" applyFont="1" applyFill="1" applyBorder="1" applyAlignment="1">
      <x:alignment horizontal="left" vertical="center"/>
    </x:xf>
    <x:xf numFmtId="0" fontId="3" fillId="0" borderId="12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wrapText="1"/>
    </x:xf>
    <x:xf numFmtId="0" fontId="1" fillId="2" borderId="12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6" borderId="12" xfId="0" applyNumberFormat="1" applyFont="1" applyFill="1" applyBorder="1"/>
    <x:xf numFmtId="0" fontId="1" fillId="6" borderId="12" xfId="0" applyNumberFormat="1" applyFont="1" applyFill="1" applyBorder="1"/>
    <x:xf numFmtId="0" fontId="1" fillId="6" borderId="12" xfId="0" applyNumberFormat="1" applyFont="1" applyFill="1" applyBorder="1" applyAlignment="1">
      <x:alignment horizontal="center"/>
    </x:xf>
    <x:xf numFmtId="0" fontId="1" fillId="6" borderId="12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3" xfId="0" applyNumberFormat="1" applyFont="1" applyFill="1" applyBorder="1"/>
    <x:xf numFmtId="0" fontId="3" fillId="7" borderId="14" xfId="0" applyNumberFormat="1" applyFont="1" applyFill="1" applyBorder="1"/>
    <x:xf numFmtId="0" fontId="3" fillId="7" borderId="15" xfId="0" applyNumberFormat="1" applyFont="1" applyFill="1" applyBorder="1"/>
    <x:xf numFmtId="0" fontId="3" fillId="7" borderId="16" xfId="0" applyNumberFormat="1" applyFont="1" applyFill="1" applyBorder="1"/>
    <x:xf numFmtId="0" fontId="3" fillId="7" borderId="17" xfId="0" applyNumberFormat="1" applyFont="1" applyFill="1" applyBorder="1"/>
    <x:xf numFmtId="0" fontId="3" fillId="7" borderId="18" xfId="0" applyNumberFormat="1" applyFont="1" applyFill="1" applyBorder="1"/>
    <x:xf numFmtId="0" fontId="3" fillId="7" borderId="13" xfId="0" applyNumberFormat="1" applyFont="1" applyFill="1" applyBorder="1" applyAlignment="1">
      <x:alignment wrapText="1"/>
    </x:xf>
    <x:xf numFmtId="0" fontId="3" fillId="7" borderId="14" xfId="0" applyNumberFormat="1" applyFont="1" applyFill="1" applyBorder="1" applyAlignment="1">
      <x:alignment wrapText="1"/>
    </x:xf>
    <x:xf numFmtId="0" fontId="3" fillId="7" borderId="15" xfId="0" applyNumberFormat="1" applyFont="1" applyFill="1" applyBorder="1" applyAlignment="1">
      <x:alignment wrapText="1"/>
    </x:xf>
    <x:xf numFmtId="0" fontId="3" fillId="7" borderId="16" xfId="0" applyNumberFormat="1" applyFont="1" applyFill="1" applyBorder="1" applyAlignment="1">
      <x:alignment wrapText="1"/>
    </x:xf>
    <x:xf numFmtId="0" fontId="3" fillId="7" borderId="17" xfId="0" applyNumberFormat="1" applyFont="1" applyFill="1" applyBorder="1" applyAlignment="1">
      <x:alignment wrapText="1"/>
    </x:xf>
    <x:xf numFmtId="0" fontId="3" fillId="7" borderId="18" xfId="0" applyNumberFormat="1" applyFont="1" applyFill="1" applyBorder="1" applyAlignment="1">
      <x:alignment wrapText="1"/>
    </x:xf>
    <x:xf numFmtId="0" fontId="3" fillId="7" borderId="13" xfId="0" applyNumberFormat="1" applyFont="1" applyFill="1" applyBorder="1" applyAlignment="1">
      <x:alignment horizontal="center" wrapText="1"/>
    </x:xf>
    <x:xf numFmtId="0" fontId="3" fillId="7" borderId="14" xfId="0" applyNumberFormat="1" applyFont="1" applyFill="1" applyBorder="1" applyAlignment="1">
      <x:alignment horizontal="center" wrapText="1"/>
    </x:xf>
    <x:xf numFmtId="0" fontId="3" fillId="7" borderId="15" xfId="0" applyNumberFormat="1" applyFont="1" applyFill="1" applyBorder="1" applyAlignment="1">
      <x:alignment horizontal="center" wrapText="1"/>
    </x:xf>
    <x:xf numFmtId="0" fontId="3" fillId="7" borderId="16" xfId="0" applyNumberFormat="1" applyFont="1" applyFill="1" applyBorder="1" applyAlignment="1">
      <x:alignment horizontal="center" wrapText="1"/>
    </x:xf>
    <x:xf numFmtId="0" fontId="3" fillId="7" borderId="17" xfId="0" applyNumberFormat="1" applyFont="1" applyFill="1" applyBorder="1" applyAlignment="1">
      <x:alignment horizontal="center" wrapText="1"/>
    </x:xf>
    <x:xf numFmtId="0" fontId="3" fillId="7" borderId="18" xfId="0" applyNumberFormat="1" applyFont="1" applyFill="1" applyBorder="1" applyAlignment="1">
      <x:alignment horizontal="center" wrapText="1"/>
    </x:xf>
    <x:xf numFmtId="0" fontId="3" fillId="7" borderId="13" xfId="0" applyNumberFormat="1" applyFont="1" applyFill="1" applyBorder="1" applyAlignment="1">
      <x:alignment horizontal="center" vertical="center" wrapText="1"/>
    </x:xf>
    <x:xf numFmtId="0" fontId="3" fillId="7" borderId="14" xfId="0" applyNumberFormat="1" applyFont="1" applyFill="1" applyBorder="1" applyAlignment="1">
      <x:alignment horizontal="center" vertical="center" wrapText="1"/>
    </x:xf>
    <x:xf numFmtId="0" fontId="3" fillId="7" borderId="15" xfId="0" applyNumberFormat="1" applyFont="1" applyFill="1" applyBorder="1" applyAlignment="1">
      <x:alignment horizontal="center" vertical="center" wrapText="1"/>
    </x:xf>
    <x:xf numFmtId="0" fontId="3" fillId="7" borderId="16" xfId="0" applyNumberFormat="1" applyFont="1" applyFill="1" applyBorder="1" applyAlignment="1">
      <x:alignment horizontal="center" vertical="center" wrapText="1"/>
    </x:xf>
    <x:xf numFmtId="0" fontId="3" fillId="7" borderId="17" xfId="0" applyNumberFormat="1" applyFont="1" applyFill="1" applyBorder="1" applyAlignment="1">
      <x:alignment horizontal="center" vertical="center" wrapText="1"/>
    </x:xf>
    <x:xf numFmtId="0" fontId="3" fillId="7" borderId="18" xfId="0" applyNumberFormat="1" applyFont="1" applyFill="1" applyBorder="1" applyAlignment="1">
      <x:alignment horizontal="center" vertical="center" wrapText="1"/>
    </x:xf>
    <x:xf numFmtId="0" fontId="0" fillId="7" borderId="12" xfId="0" applyNumberFormat="1" applyFont="1" applyFill="1" applyBorder="1"/>
    <x:xf numFmtId="0" fontId="3" fillId="7" borderId="12" xfId="0" applyNumberFormat="1" applyFont="1" applyFill="1" applyBorder="1"/>
    <x:xf numFmtId="0" fontId="3" fillId="7" borderId="19" xfId="0" applyNumberFormat="1" applyFont="1" applyFill="1" applyBorder="1"/>
    <x:xf numFmtId="0" fontId="3" fillId="7" borderId="20" xfId="0" applyNumberFormat="1" applyFont="1" applyFill="1" applyBorder="1"/>
    <x:xf numFmtId="0" fontId="3" fillId="7" borderId="21" xfId="0" applyNumberFormat="1" applyFont="1" applyFill="1" applyBorder="1"/>
    <x:xf numFmtId="0" fontId="3" fillId="7" borderId="22" xfId="0" applyNumberFormat="1" applyFont="1" applyFill="1" applyBorder="1"/>
    <x:xf numFmtId="0" fontId="3" fillId="7" borderId="23" xfId="0" applyNumberFormat="1" applyFont="1" applyFill="1" applyBorder="1"/>
    <x:xf numFmtId="0" fontId="3" fillId="7" borderId="24" xfId="0" applyNumberFormat="1" applyFont="1" applyFill="1" applyBorder="1"/>
    <x:xf numFmtId="0" fontId="3" fillId="7" borderId="19" xfId="0" applyNumberFormat="1" applyFont="1" applyFill="1" applyBorder="1" applyAlignment="1">
      <x:alignment wrapText="1"/>
    </x:xf>
    <x:xf numFmtId="0" fontId="3" fillId="7" borderId="20" xfId="0" applyNumberFormat="1" applyFont="1" applyFill="1" applyBorder="1" applyAlignment="1">
      <x:alignment wrapText="1"/>
    </x:xf>
    <x:xf numFmtId="0" fontId="3" fillId="7" borderId="21" xfId="0" applyNumberFormat="1" applyFont="1" applyFill="1" applyBorder="1" applyAlignment="1">
      <x:alignment wrapText="1"/>
    </x:xf>
    <x:xf numFmtId="0" fontId="3" fillId="7" borderId="22" xfId="0" applyNumberFormat="1" applyFont="1" applyFill="1" applyBorder="1" applyAlignment="1">
      <x:alignment wrapText="1"/>
    </x:xf>
    <x:xf numFmtId="0" fontId="3" fillId="7" borderId="23" xfId="0" applyNumberFormat="1" applyFont="1" applyFill="1" applyBorder="1" applyAlignment="1">
      <x:alignment wrapText="1"/>
    </x:xf>
    <x:xf numFmtId="0" fontId="3" fillId="7" borderId="24" xfId="0" applyNumberFormat="1" applyFont="1" applyFill="1" applyBorder="1" applyAlignment="1">
      <x:alignment wrapText="1"/>
    </x:xf>
    <x:xf numFmtId="0" fontId="3" fillId="7" borderId="19" xfId="0" applyNumberFormat="1" applyFont="1" applyFill="1" applyBorder="1" applyAlignment="1">
      <x:alignment horizontal="center" wrapText="1"/>
    </x:xf>
    <x:xf numFmtId="0" fontId="3" fillId="7" borderId="20" xfId="0" applyNumberFormat="1" applyFont="1" applyFill="1" applyBorder="1" applyAlignment="1">
      <x:alignment horizontal="center" wrapText="1"/>
    </x:xf>
    <x:xf numFmtId="0" fontId="3" fillId="7" borderId="21" xfId="0" applyNumberFormat="1" applyFont="1" applyFill="1" applyBorder="1" applyAlignment="1">
      <x:alignment horizontal="center" wrapText="1"/>
    </x:xf>
    <x:xf numFmtId="0" fontId="3" fillId="7" borderId="22" xfId="0" applyNumberFormat="1" applyFont="1" applyFill="1" applyBorder="1" applyAlignment="1">
      <x:alignment horizontal="center" wrapText="1"/>
    </x:xf>
    <x:xf numFmtId="0" fontId="3" fillId="7" borderId="23" xfId="0" applyNumberFormat="1" applyFont="1" applyFill="1" applyBorder="1" applyAlignment="1">
      <x:alignment horizontal="center" wrapText="1"/>
    </x:xf>
    <x:xf numFmtId="0" fontId="3" fillId="7" borderId="24" xfId="0" applyNumberFormat="1" applyFont="1" applyFill="1" applyBorder="1" applyAlignment="1">
      <x:alignment horizontal="center" wrapText="1"/>
    </x:xf>
    <x:xf numFmtId="0" fontId="3" fillId="7" borderId="19" xfId="0" applyNumberFormat="1" applyFont="1" applyFill="1" applyBorder="1" applyAlignment="1">
      <x:alignment horizontal="center" vertical="center" wrapText="1"/>
    </x:xf>
    <x:xf numFmtId="0" fontId="3" fillId="7" borderId="20" xfId="0" applyNumberFormat="1" applyFont="1" applyFill="1" applyBorder="1" applyAlignment="1">
      <x:alignment horizontal="center" vertical="center" wrapText="1"/>
    </x:xf>
    <x:xf numFmtId="0" fontId="3" fillId="7" borderId="21" xfId="0" applyNumberFormat="1" applyFont="1" applyFill="1" applyBorder="1" applyAlignment="1">
      <x:alignment horizontal="center" vertical="center" wrapText="1"/>
    </x:xf>
    <x:xf numFmtId="0" fontId="3" fillId="7" borderId="22" xfId="0" applyNumberFormat="1" applyFont="1" applyFill="1" applyBorder="1" applyAlignment="1">
      <x:alignment horizontal="center" vertical="center" wrapText="1"/>
    </x:xf>
    <x:xf numFmtId="0" fontId="3" fillId="7" borderId="23" xfId="0" applyNumberFormat="1" applyFont="1" applyFill="1" applyBorder="1" applyAlignment="1">
      <x:alignment horizontal="center" vertical="center" wrapText="1"/>
    </x:xf>
    <x:xf numFmtId="0" fontId="3" fillId="7" borderId="24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/>
    <x:xf numFmtId="0" fontId="5" fillId="0" borderId="12" xfId="0" applyNumberFormat="1" applyFont="1" applyFill="1" applyBorder="1" applyAlignment="1">
      <x:alignment horizontal="center"/>
    </x:xf>
    <x:xf numFmtId="0" fontId="5" fillId="0" borderId="12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25" xfId="0" applyNumberFormat="1" applyFont="1" applyFill="1" applyBorder="1"/>
    <x:xf numFmtId="0" fontId="6" fillId="8" borderId="26" xfId="0" applyNumberFormat="1" applyFont="1" applyFill="1" applyBorder="1"/>
    <x:xf numFmtId="0" fontId="6" fillId="8" borderId="27" xfId="0" applyNumberFormat="1" applyFont="1" applyFill="1" applyBorder="1"/>
    <x:xf numFmtId="0" fontId="6" fillId="8" borderId="28" xfId="0" applyNumberFormat="1" applyFont="1" applyFill="1" applyBorder="1"/>
    <x:xf numFmtId="0" fontId="6" fillId="8" borderId="29" xfId="0" applyNumberFormat="1" applyFont="1" applyFill="1" applyBorder="1"/>
    <x:xf numFmtId="0" fontId="6" fillId="8" borderId="30" xfId="0" applyNumberFormat="1" applyFont="1" applyFill="1" applyBorder="1"/>
    <x:xf numFmtId="0" fontId="6" fillId="8" borderId="25" xfId="0" applyNumberFormat="1" applyFont="1" applyFill="1" applyBorder="1" applyAlignment="1">
      <x:alignment wrapText="1"/>
    </x:xf>
    <x:xf numFmtId="0" fontId="6" fillId="8" borderId="26" xfId="0" applyNumberFormat="1" applyFont="1" applyFill="1" applyBorder="1" applyAlignment="1">
      <x:alignment wrapText="1"/>
    </x:xf>
    <x:xf numFmtId="0" fontId="6" fillId="8" borderId="27" xfId="0" applyNumberFormat="1" applyFont="1" applyFill="1" applyBorder="1" applyAlignment="1">
      <x:alignment wrapText="1"/>
    </x:xf>
    <x:xf numFmtId="0" fontId="6" fillId="8" borderId="28" xfId="0" applyNumberFormat="1" applyFont="1" applyFill="1" applyBorder="1" applyAlignment="1">
      <x:alignment wrapText="1"/>
    </x:xf>
    <x:xf numFmtId="0" fontId="6" fillId="8" borderId="29" xfId="0" applyNumberFormat="1" applyFont="1" applyFill="1" applyBorder="1" applyAlignment="1">
      <x:alignment wrapText="1"/>
    </x:xf>
    <x:xf numFmtId="0" fontId="6" fillId="8" borderId="30" xfId="0" applyNumberFormat="1" applyFont="1" applyFill="1" applyBorder="1" applyAlignment="1">
      <x:alignment wrapText="1"/>
    </x:xf>
    <x:xf numFmtId="0" fontId="6" fillId="8" borderId="25" xfId="0" applyNumberFormat="1" applyFont="1" applyFill="1" applyBorder="1" applyAlignment="1">
      <x:alignment horizontal="center" wrapText="1"/>
    </x:xf>
    <x:xf numFmtId="0" fontId="6" fillId="8" borderId="26" xfId="0" applyNumberFormat="1" applyFont="1" applyFill="1" applyBorder="1" applyAlignment="1">
      <x:alignment horizontal="center" wrapText="1"/>
    </x:xf>
    <x:xf numFmtId="0" fontId="6" fillId="8" borderId="27" xfId="0" applyNumberFormat="1" applyFont="1" applyFill="1" applyBorder="1" applyAlignment="1">
      <x:alignment horizontal="center" wrapText="1"/>
    </x:xf>
    <x:xf numFmtId="0" fontId="6" fillId="8" borderId="28" xfId="0" applyNumberFormat="1" applyFont="1" applyFill="1" applyBorder="1" applyAlignment="1">
      <x:alignment horizontal="center" wrapText="1"/>
    </x:xf>
    <x:xf numFmtId="0" fontId="6" fillId="8" borderId="29" xfId="0" applyNumberFormat="1" applyFont="1" applyFill="1" applyBorder="1" applyAlignment="1">
      <x:alignment horizontal="center" wrapText="1"/>
    </x:xf>
    <x:xf numFmtId="0" fontId="6" fillId="8" borderId="30" xfId="0" applyNumberFormat="1" applyFont="1" applyFill="1" applyBorder="1" applyAlignment="1">
      <x:alignment horizontal="center" wrapText="1"/>
    </x:xf>
    <x:xf numFmtId="0" fontId="6" fillId="8" borderId="25" xfId="0" applyNumberFormat="1" applyFont="1" applyFill="1" applyBorder="1" applyAlignment="1">
      <x:alignment horizontal="center" vertical="center" wrapText="1"/>
    </x:xf>
    <x:xf numFmtId="0" fontId="6" fillId="8" borderId="26" xfId="0" applyNumberFormat="1" applyFont="1" applyFill="1" applyBorder="1" applyAlignment="1">
      <x:alignment horizontal="center" vertical="center" wrapText="1"/>
    </x:xf>
    <x:xf numFmtId="0" fontId="6" fillId="8" borderId="27" xfId="0" applyNumberFormat="1" applyFont="1" applyFill="1" applyBorder="1" applyAlignment="1">
      <x:alignment horizontal="center" vertical="center" wrapText="1"/>
    </x:xf>
    <x:xf numFmtId="0" fontId="6" fillId="8" borderId="28" xfId="0" applyNumberFormat="1" applyFont="1" applyFill="1" applyBorder="1" applyAlignment="1">
      <x:alignment horizontal="center" vertical="center" wrapText="1"/>
    </x:xf>
    <x:xf numFmtId="0" fontId="6" fillId="8" borderId="29" xfId="0" applyNumberFormat="1" applyFont="1" applyFill="1" applyBorder="1" applyAlignment="1">
      <x:alignment horizontal="center" vertical="center" wrapText="1"/>
    </x:xf>
    <x:xf numFmtId="0" fontId="6" fillId="8" borderId="30" xfId="0" applyNumberFormat="1" applyFont="1" applyFill="1" applyBorder="1" applyAlignment="1">
      <x:alignment horizontal="center" vertical="center" wrapText="1"/>
    </x:xf>
    <x:xf numFmtId="0" fontId="0" fillId="8" borderId="12" xfId="0" applyNumberFormat="1" applyFont="1" applyFill="1" applyBorder="1"/>
    <x:xf numFmtId="0" fontId="6" fillId="8" borderId="12" xfId="0" applyNumberFormat="1" applyFont="1" applyFill="1" applyBorder="1"/>
    <x:xf numFmtId="0" fontId="6" fillId="8" borderId="31" xfId="0" applyNumberFormat="1" applyFont="1" applyFill="1" applyBorder="1"/>
    <x:xf numFmtId="0" fontId="6" fillId="8" borderId="32" xfId="0" applyNumberFormat="1" applyFont="1" applyFill="1" applyBorder="1"/>
    <x:xf numFmtId="0" fontId="6" fillId="8" borderId="33" xfId="0" applyNumberFormat="1" applyFont="1" applyFill="1" applyBorder="1"/>
    <x:xf numFmtId="0" fontId="6" fillId="8" borderId="34" xfId="0" applyNumberFormat="1" applyFont="1" applyFill="1" applyBorder="1"/>
    <x:xf numFmtId="0" fontId="6" fillId="8" borderId="35" xfId="0" applyNumberFormat="1" applyFont="1" applyFill="1" applyBorder="1"/>
    <x:xf numFmtId="0" fontId="6" fillId="8" borderId="36" xfId="0" applyNumberFormat="1" applyFont="1" applyFill="1" applyBorder="1"/>
    <x:xf numFmtId="0" fontId="6" fillId="8" borderId="31" xfId="0" applyNumberFormat="1" applyFont="1" applyFill="1" applyBorder="1" applyAlignment="1">
      <x:alignment wrapText="1"/>
    </x:xf>
    <x:xf numFmtId="0" fontId="6" fillId="8" borderId="32" xfId="0" applyNumberFormat="1" applyFont="1" applyFill="1" applyBorder="1" applyAlignment="1">
      <x:alignment wrapText="1"/>
    </x:xf>
    <x:xf numFmtId="0" fontId="6" fillId="8" borderId="33" xfId="0" applyNumberFormat="1" applyFont="1" applyFill="1" applyBorder="1" applyAlignment="1">
      <x:alignment wrapText="1"/>
    </x:xf>
    <x:xf numFmtId="0" fontId="6" fillId="8" borderId="34" xfId="0" applyNumberFormat="1" applyFont="1" applyFill="1" applyBorder="1" applyAlignment="1">
      <x:alignment wrapText="1"/>
    </x:xf>
    <x:xf numFmtId="0" fontId="6" fillId="8" borderId="35" xfId="0" applyNumberFormat="1" applyFont="1" applyFill="1" applyBorder="1" applyAlignment="1">
      <x:alignment wrapText="1"/>
    </x:xf>
    <x:xf numFmtId="0" fontId="6" fillId="8" borderId="36" xfId="0" applyNumberFormat="1" applyFont="1" applyFill="1" applyBorder="1" applyAlignment="1">
      <x:alignment wrapText="1"/>
    </x:xf>
    <x:xf numFmtId="0" fontId="6" fillId="8" borderId="31" xfId="0" applyNumberFormat="1" applyFont="1" applyFill="1" applyBorder="1" applyAlignment="1">
      <x:alignment horizontal="center" wrapText="1"/>
    </x:xf>
    <x:xf numFmtId="0" fontId="6" fillId="8" borderId="32" xfId="0" applyNumberFormat="1" applyFont="1" applyFill="1" applyBorder="1" applyAlignment="1">
      <x:alignment horizontal="center" wrapText="1"/>
    </x:xf>
    <x:xf numFmtId="0" fontId="6" fillId="8" borderId="33" xfId="0" applyNumberFormat="1" applyFont="1" applyFill="1" applyBorder="1" applyAlignment="1">
      <x:alignment horizontal="center" wrapText="1"/>
    </x:xf>
    <x:xf numFmtId="0" fontId="6" fillId="8" borderId="34" xfId="0" applyNumberFormat="1" applyFont="1" applyFill="1" applyBorder="1" applyAlignment="1">
      <x:alignment horizontal="center" wrapText="1"/>
    </x:xf>
    <x:xf numFmtId="0" fontId="6" fillId="8" borderId="35" xfId="0" applyNumberFormat="1" applyFont="1" applyFill="1" applyBorder="1" applyAlignment="1">
      <x:alignment horizontal="center" wrapText="1"/>
    </x:xf>
    <x:xf numFmtId="0" fontId="6" fillId="8" borderId="36" xfId="0" applyNumberFormat="1" applyFont="1" applyFill="1" applyBorder="1" applyAlignment="1">
      <x:alignment horizontal="center" wrapText="1"/>
    </x:xf>
    <x:xf numFmtId="0" fontId="6" fillId="8" borderId="31" xfId="0" applyNumberFormat="1" applyFont="1" applyFill="1" applyBorder="1" applyAlignment="1">
      <x:alignment horizontal="center" vertical="center" wrapText="1"/>
    </x:xf>
    <x:xf numFmtId="0" fontId="6" fillId="8" borderId="32" xfId="0" applyNumberFormat="1" applyFont="1" applyFill="1" applyBorder="1" applyAlignment="1">
      <x:alignment horizontal="center" vertical="center" wrapText="1"/>
    </x:xf>
    <x:xf numFmtId="0" fontId="6" fillId="8" borderId="33" xfId="0" applyNumberFormat="1" applyFont="1" applyFill="1" applyBorder="1" applyAlignment="1">
      <x:alignment horizontal="center" vertical="center" wrapText="1"/>
    </x:xf>
    <x:xf numFmtId="0" fontId="6" fillId="8" borderId="34" xfId="0" applyNumberFormat="1" applyFont="1" applyFill="1" applyBorder="1" applyAlignment="1">
      <x:alignment horizontal="center" vertical="center" wrapText="1"/>
    </x:xf>
    <x:xf numFmtId="0" fontId="6" fillId="8" borderId="35" xfId="0" applyNumberFormat="1" applyFont="1" applyFill="1" applyBorder="1" applyAlignment="1">
      <x:alignment horizontal="center" vertical="center" wrapText="1"/>
    </x:xf>
    <x:xf numFmtId="0" fontId="6" fillId="8" borderId="36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37" xfId="0" applyNumberFormat="1" applyFont="1" applyFill="1" applyBorder="1"/>
    <x:xf numFmtId="0" fontId="7" fillId="9" borderId="38" xfId="0" applyNumberFormat="1" applyFont="1" applyFill="1" applyBorder="1"/>
    <x:xf numFmtId="0" fontId="7" fillId="9" borderId="39" xfId="0" applyNumberFormat="1" applyFont="1" applyFill="1" applyBorder="1"/>
    <x:xf numFmtId="0" fontId="7" fillId="9" borderId="40" xfId="0" applyNumberFormat="1" applyFont="1" applyFill="1" applyBorder="1"/>
    <x:xf numFmtId="0" fontId="7" fillId="9" borderId="41" xfId="0" applyNumberFormat="1" applyFont="1" applyFill="1" applyBorder="1"/>
    <x:xf numFmtId="0" fontId="7" fillId="9" borderId="42" xfId="0" applyNumberFormat="1" applyFont="1" applyFill="1" applyBorder="1"/>
    <x:xf numFmtId="0" fontId="7" fillId="9" borderId="43" xfId="0" applyNumberFormat="1" applyFont="1" applyFill="1" applyBorder="1"/>
    <x:xf numFmtId="0" fontId="7" fillId="9" borderId="44" xfId="0" applyNumberFormat="1" applyFont="1" applyFill="1" applyBorder="1"/>
    <x:xf numFmtId="0" fontId="7" fillId="9" borderId="37" xfId="0" applyNumberFormat="1" applyFont="1" applyFill="1" applyBorder="1" applyAlignment="1">
      <x:alignment wrapText="1"/>
    </x:xf>
    <x:xf numFmtId="0" fontId="7" fillId="9" borderId="38" xfId="0" applyNumberFormat="1" applyFont="1" applyFill="1" applyBorder="1" applyAlignment="1">
      <x:alignment wrapText="1"/>
    </x:xf>
    <x:xf numFmtId="0" fontId="7" fillId="9" borderId="39" xfId="0" applyNumberFormat="1" applyFont="1" applyFill="1" applyBorder="1" applyAlignment="1">
      <x:alignment wrapText="1"/>
    </x:xf>
    <x:xf numFmtId="0" fontId="7" fillId="9" borderId="4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wrapText="1"/>
    </x:xf>
    <x:xf numFmtId="0" fontId="7" fillId="9" borderId="41" xfId="0" applyNumberFormat="1" applyFont="1" applyFill="1" applyBorder="1" applyAlignment="1">
      <x:alignment wrapText="1"/>
    </x:xf>
    <x:xf numFmtId="0" fontId="7" fillId="9" borderId="42" xfId="0" applyNumberFormat="1" applyFont="1" applyFill="1" applyBorder="1" applyAlignment="1">
      <x:alignment wrapText="1"/>
    </x:xf>
    <x:xf numFmtId="0" fontId="7" fillId="9" borderId="43" xfId="0" applyNumberFormat="1" applyFont="1" applyFill="1" applyBorder="1" applyAlignment="1">
      <x:alignment wrapText="1"/>
    </x:xf>
    <x:xf numFmtId="0" fontId="7" fillId="9" borderId="44" xfId="0" applyNumberFormat="1" applyFont="1" applyFill="1" applyBorder="1" applyAlignment="1">
      <x:alignment wrapText="1"/>
    </x:xf>
    <x:xf numFmtId="0" fontId="7" fillId="9" borderId="37" xfId="0" applyNumberFormat="1" applyFont="1" applyFill="1" applyBorder="1" applyAlignment="1">
      <x:alignment horizontal="center" wrapText="1"/>
    </x:xf>
    <x:xf numFmtId="0" fontId="7" fillId="9" borderId="38" xfId="0" applyNumberFormat="1" applyFont="1" applyFill="1" applyBorder="1" applyAlignment="1">
      <x:alignment horizontal="center" wrapText="1"/>
    </x:xf>
    <x:xf numFmtId="0" fontId="7" fillId="9" borderId="39" xfId="0" applyNumberFormat="1" applyFont="1" applyFill="1" applyBorder="1" applyAlignment="1">
      <x:alignment horizontal="center" wrapText="1"/>
    </x:xf>
    <x:xf numFmtId="0" fontId="7" fillId="9" borderId="40" xfId="0" applyNumberFormat="1" applyFont="1" applyFill="1" applyBorder="1" applyAlignment="1">
      <x:alignment horizontal="center" wrapText="1"/>
    </x:xf>
    <x:xf numFmtId="0" fontId="7" fillId="9" borderId="0" xfId="0" applyNumberFormat="1" applyFont="1" applyFill="1" applyBorder="1" applyAlignment="1">
      <x:alignment horizontal="center" wrapText="1"/>
    </x:xf>
    <x:xf numFmtId="0" fontId="7" fillId="9" borderId="41" xfId="0" applyNumberFormat="1" applyFont="1" applyFill="1" applyBorder="1" applyAlignment="1">
      <x:alignment horizontal="center" wrapText="1"/>
    </x:xf>
    <x:xf numFmtId="0" fontId="7" fillId="9" borderId="42" xfId="0" applyNumberFormat="1" applyFont="1" applyFill="1" applyBorder="1" applyAlignment="1">
      <x:alignment horizontal="center" wrapText="1"/>
    </x:xf>
    <x:xf numFmtId="0" fontId="7" fillId="9" borderId="43" xfId="0" applyNumberFormat="1" applyFont="1" applyFill="1" applyBorder="1" applyAlignment="1">
      <x:alignment horizontal="center" wrapText="1"/>
    </x:xf>
    <x:xf numFmtId="0" fontId="7" fillId="9" borderId="44" xfId="0" applyNumberFormat="1" applyFont="1" applyFill="1" applyBorder="1" applyAlignment="1">
      <x:alignment horizontal="center" wrapText="1"/>
    </x:xf>
    <x:xf numFmtId="0" fontId="7" fillId="9" borderId="37" xfId="0" applyNumberFormat="1" applyFont="1" applyFill="1" applyBorder="1" applyAlignment="1">
      <x:alignment horizontal="center" vertical="center" wrapText="1"/>
    </x:xf>
    <x:xf numFmtId="0" fontId="7" fillId="9" borderId="38" xfId="0" applyNumberFormat="1" applyFont="1" applyFill="1" applyBorder="1" applyAlignment="1">
      <x:alignment horizontal="center" vertical="center" wrapText="1"/>
    </x:xf>
    <x:xf numFmtId="0" fontId="7" fillId="9" borderId="39" xfId="0" applyNumberFormat="1" applyFont="1" applyFill="1" applyBorder="1" applyAlignment="1">
      <x:alignment horizontal="center" vertical="center" wrapText="1"/>
    </x:xf>
    <x:xf numFmtId="0" fontId="7" fillId="9" borderId="40" xfId="0" applyNumberFormat="1" applyFont="1" applyFill="1" applyBorder="1" applyAlignment="1">
      <x:alignment horizontal="center" vertic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7" fillId="9" borderId="41" xfId="0" applyNumberFormat="1" applyFont="1" applyFill="1" applyBorder="1" applyAlignment="1">
      <x:alignment horizontal="center" vertical="center" wrapText="1"/>
    </x:xf>
    <x:xf numFmtId="0" fontId="7" fillId="9" borderId="42" xfId="0" applyNumberFormat="1" applyFont="1" applyFill="1" applyBorder="1" applyAlignment="1">
      <x:alignment horizontal="center" vertical="center" wrapText="1"/>
    </x:xf>
    <x:xf numFmtId="0" fontId="7" fillId="9" borderId="43" xfId="0" applyNumberFormat="1" applyFont="1" applyFill="1" applyBorder="1" applyAlignment="1">
      <x:alignment horizontal="center" vertical="center" wrapText="1"/>
    </x:xf>
    <x:xf numFmtId="0" fontId="7" fillId="9" borderId="44" xfId="0" applyNumberFormat="1" applyFont="1" applyFill="1" applyBorder="1" applyAlignment="1">
      <x:alignment horizontal="center" vertical="center" wrapText="1"/>
    </x:xf>
    <x:xf numFmtId="0" fontId="0" fillId="9" borderId="12" xfId="0" applyNumberFormat="1" applyFont="1" applyFill="1" applyBorder="1"/>
    <x:xf numFmtId="0" fontId="7" fillId="9" borderId="12" xfId="0" applyNumberFormat="1" applyFont="1" applyFill="1" applyBorder="1"/>
    <x:xf numFmtId="0" fontId="7" fillId="9" borderId="45" xfId="0" applyNumberFormat="1" applyFont="1" applyFill="1" applyBorder="1"/>
    <x:xf numFmtId="0" fontId="7" fillId="9" borderId="46" xfId="0" applyNumberFormat="1" applyFont="1" applyFill="1" applyBorder="1"/>
    <x:xf numFmtId="0" fontId="7" fillId="9" borderId="47" xfId="0" applyNumberFormat="1" applyFont="1" applyFill="1" applyBorder="1"/>
    <x:xf numFmtId="0" fontId="7" fillId="9" borderId="48" xfId="0" applyNumberFormat="1" applyFont="1" applyFill="1" applyBorder="1"/>
    <x:xf numFmtId="0" fontId="7" fillId="9" borderId="49" xfId="0" applyNumberFormat="1" applyFont="1" applyFill="1" applyBorder="1"/>
    <x:xf numFmtId="0" fontId="7" fillId="9" borderId="50" xfId="0" applyNumberFormat="1" applyFont="1" applyFill="1" applyBorder="1"/>
    <x:xf numFmtId="0" fontId="7" fillId="9" borderId="51" xfId="0" applyNumberFormat="1" applyFont="1" applyFill="1" applyBorder="1"/>
    <x:xf numFmtId="0" fontId="7" fillId="9" borderId="52" xfId="0" applyNumberFormat="1" applyFont="1" applyFill="1" applyBorder="1"/>
    <x:xf numFmtId="0" fontId="7" fillId="9" borderId="45" xfId="0" applyNumberFormat="1" applyFont="1" applyFill="1" applyBorder="1" applyAlignment="1">
      <x:alignment wrapText="1"/>
    </x:xf>
    <x:xf numFmtId="0" fontId="7" fillId="9" borderId="46" xfId="0" applyNumberFormat="1" applyFont="1" applyFill="1" applyBorder="1" applyAlignment="1">
      <x:alignment wrapText="1"/>
    </x:xf>
    <x:xf numFmtId="0" fontId="7" fillId="9" borderId="47" xfId="0" applyNumberFormat="1" applyFont="1" applyFill="1" applyBorder="1" applyAlignment="1">
      <x:alignment wrapText="1"/>
    </x:xf>
    <x:xf numFmtId="0" fontId="7" fillId="9" borderId="48" xfId="0" applyNumberFormat="1" applyFont="1" applyFill="1" applyBorder="1" applyAlignment="1">
      <x:alignment wrapText="1"/>
    </x:xf>
    <x:xf numFmtId="0" fontId="7" fillId="9" borderId="12" xfId="0" applyNumberFormat="1" applyFont="1" applyFill="1" applyBorder="1" applyAlignment="1">
      <x:alignment wrapText="1"/>
    </x:xf>
    <x:xf numFmtId="0" fontId="7" fillId="9" borderId="49" xfId="0" applyNumberFormat="1" applyFont="1" applyFill="1" applyBorder="1" applyAlignment="1">
      <x:alignment wrapText="1"/>
    </x:xf>
    <x:xf numFmtId="0" fontId="7" fillId="9" borderId="50" xfId="0" applyNumberFormat="1" applyFont="1" applyFill="1" applyBorder="1" applyAlignment="1">
      <x:alignment wrapText="1"/>
    </x:xf>
    <x:xf numFmtId="0" fontId="7" fillId="9" borderId="51" xfId="0" applyNumberFormat="1" applyFont="1" applyFill="1" applyBorder="1" applyAlignment="1">
      <x:alignment wrapText="1"/>
    </x:xf>
    <x:xf numFmtId="0" fontId="7" fillId="9" borderId="52" xfId="0" applyNumberFormat="1" applyFont="1" applyFill="1" applyBorder="1" applyAlignment="1">
      <x:alignment wrapText="1"/>
    </x:xf>
    <x:xf numFmtId="0" fontId="7" fillId="9" borderId="45" xfId="0" applyNumberFormat="1" applyFont="1" applyFill="1" applyBorder="1" applyAlignment="1">
      <x:alignment horizontal="center" wrapText="1"/>
    </x:xf>
    <x:xf numFmtId="0" fontId="7" fillId="9" borderId="46" xfId="0" applyNumberFormat="1" applyFont="1" applyFill="1" applyBorder="1" applyAlignment="1">
      <x:alignment horizontal="center" wrapText="1"/>
    </x:xf>
    <x:xf numFmtId="0" fontId="7" fillId="9" borderId="47" xfId="0" applyNumberFormat="1" applyFont="1" applyFill="1" applyBorder="1" applyAlignment="1">
      <x:alignment horizontal="center" wrapText="1"/>
    </x:xf>
    <x:xf numFmtId="0" fontId="7" fillId="9" borderId="48" xfId="0" applyNumberFormat="1" applyFont="1" applyFill="1" applyBorder="1" applyAlignment="1">
      <x:alignment horizontal="center" wrapText="1"/>
    </x:xf>
    <x:xf numFmtId="0" fontId="7" fillId="9" borderId="12" xfId="0" applyNumberFormat="1" applyFont="1" applyFill="1" applyBorder="1" applyAlignment="1">
      <x:alignment horizontal="center" wrapText="1"/>
    </x:xf>
    <x:xf numFmtId="0" fontId="7" fillId="9" borderId="49" xfId="0" applyNumberFormat="1" applyFont="1" applyFill="1" applyBorder="1" applyAlignment="1">
      <x:alignment horizontal="center" wrapText="1"/>
    </x:xf>
    <x:xf numFmtId="0" fontId="7" fillId="9" borderId="50" xfId="0" applyNumberFormat="1" applyFont="1" applyFill="1" applyBorder="1" applyAlignment="1">
      <x:alignment horizontal="center" wrapText="1"/>
    </x:xf>
    <x:xf numFmtId="0" fontId="7" fillId="9" borderId="51" xfId="0" applyNumberFormat="1" applyFont="1" applyFill="1" applyBorder="1" applyAlignment="1">
      <x:alignment horizontal="center" wrapText="1"/>
    </x:xf>
    <x:xf numFmtId="0" fontId="7" fillId="9" borderId="52" xfId="0" applyNumberFormat="1" applyFont="1" applyFill="1" applyBorder="1" applyAlignment="1">
      <x:alignment horizontal="center" wrapText="1"/>
    </x:xf>
    <x:xf numFmtId="0" fontId="7" fillId="9" borderId="45" xfId="0" applyNumberFormat="1" applyFont="1" applyFill="1" applyBorder="1" applyAlignment="1">
      <x:alignment horizontal="center" vertical="center" wrapText="1"/>
    </x:xf>
    <x:xf numFmtId="0" fontId="7" fillId="9" borderId="46" xfId="0" applyNumberFormat="1" applyFont="1" applyFill="1" applyBorder="1" applyAlignment="1">
      <x:alignment horizontal="center" vertical="center" wrapText="1"/>
    </x:xf>
    <x:xf numFmtId="0" fontId="7" fillId="9" borderId="47" xfId="0" applyNumberFormat="1" applyFont="1" applyFill="1" applyBorder="1" applyAlignment="1">
      <x:alignment horizontal="center" vertical="center" wrapText="1"/>
    </x:xf>
    <x:xf numFmtId="0" fontId="7" fillId="9" borderId="48" xfId="0" applyNumberFormat="1" applyFont="1" applyFill="1" applyBorder="1" applyAlignment="1">
      <x:alignment horizontal="center" vertical="center" wrapText="1"/>
    </x:xf>
    <x:xf numFmtId="0" fontId="7" fillId="9" borderId="12" xfId="0" applyNumberFormat="1" applyFont="1" applyFill="1" applyBorder="1" applyAlignment="1">
      <x:alignment horizontal="center" vertical="center" wrapText="1"/>
    </x:xf>
    <x:xf numFmtId="0" fontId="7" fillId="9" borderId="49" xfId="0" applyNumberFormat="1" applyFont="1" applyFill="1" applyBorder="1" applyAlignment="1">
      <x:alignment horizontal="center" vertical="center" wrapText="1"/>
    </x:xf>
    <x:xf numFmtId="0" fontId="7" fillId="9" borderId="50" xfId="0" applyNumberFormat="1" applyFont="1" applyFill="1" applyBorder="1" applyAlignment="1">
      <x:alignment horizontal="center" vertical="center" wrapText="1"/>
    </x:xf>
    <x:xf numFmtId="0" fontId="7" fillId="9" borderId="51" xfId="0" applyNumberFormat="1" applyFont="1" applyFill="1" applyBorder="1" applyAlignment="1">
      <x:alignment horizontal="center" vertical="center" wrapText="1"/>
    </x:xf>
    <x:xf numFmtId="0" fontId="7" fillId="9" borderId="52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53" xfId="0" applyNumberFormat="1" applyFont="1" applyFill="1" applyBorder="1"/>
    <x:xf numFmtId="0" fontId="8" fillId="10" borderId="54" xfId="0" applyNumberFormat="1" applyFont="1" applyFill="1" applyBorder="1"/>
    <x:xf numFmtId="0" fontId="8" fillId="10" borderId="55" xfId="0" applyNumberFormat="1" applyFont="1" applyFill="1" applyBorder="1"/>
    <x:xf numFmtId="0" fontId="8" fillId="10" borderId="56" xfId="0" applyNumberFormat="1" applyFont="1" applyFill="1" applyBorder="1"/>
    <x:xf numFmtId="0" fontId="8" fillId="10" borderId="57" xfId="0" applyNumberFormat="1" applyFont="1" applyFill="1" applyBorder="1"/>
    <x:xf numFmtId="0" fontId="8" fillId="10" borderId="58" xfId="0" applyNumberFormat="1" applyFont="1" applyFill="1" applyBorder="1"/>
    <x:xf numFmtId="0" fontId="8" fillId="10" borderId="59" xfId="0" applyNumberFormat="1" applyFont="1" applyFill="1" applyBorder="1"/>
    <x:xf numFmtId="0" fontId="8" fillId="10" borderId="60" xfId="0" applyNumberFormat="1" applyFont="1" applyFill="1" applyBorder="1"/>
    <x:xf numFmtId="0" fontId="8" fillId="10" borderId="53" xfId="0" applyNumberFormat="1" applyFont="1" applyFill="1" applyBorder="1" applyAlignment="1">
      <x:alignment wrapText="1"/>
    </x:xf>
    <x:xf numFmtId="0" fontId="8" fillId="10" borderId="54" xfId="0" applyNumberFormat="1" applyFont="1" applyFill="1" applyBorder="1" applyAlignment="1">
      <x:alignment wrapText="1"/>
    </x:xf>
    <x:xf numFmtId="0" fontId="8" fillId="10" borderId="55" xfId="0" applyNumberFormat="1" applyFont="1" applyFill="1" applyBorder="1" applyAlignment="1">
      <x:alignment wrapText="1"/>
    </x:xf>
    <x:xf numFmtId="0" fontId="8" fillId="10" borderId="56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wrapText="1"/>
    </x:xf>
    <x:xf numFmtId="0" fontId="8" fillId="10" borderId="57" xfId="0" applyNumberFormat="1" applyFont="1" applyFill="1" applyBorder="1" applyAlignment="1">
      <x:alignment wrapText="1"/>
    </x:xf>
    <x:xf numFmtId="0" fontId="8" fillId="10" borderId="58" xfId="0" applyNumberFormat="1" applyFont="1" applyFill="1" applyBorder="1" applyAlignment="1">
      <x:alignment wrapText="1"/>
    </x:xf>
    <x:xf numFmtId="0" fontId="8" fillId="10" borderId="59" xfId="0" applyNumberFormat="1" applyFont="1" applyFill="1" applyBorder="1" applyAlignment="1">
      <x:alignment wrapText="1"/>
    </x:xf>
    <x:xf numFmtId="0" fontId="8" fillId="10" borderId="60" xfId="0" applyNumberFormat="1" applyFont="1" applyFill="1" applyBorder="1" applyAlignment="1">
      <x:alignment wrapText="1"/>
    </x:xf>
    <x:xf numFmtId="0" fontId="8" fillId="10" borderId="53" xfId="0" applyNumberFormat="1" applyFont="1" applyFill="1" applyBorder="1" applyAlignment="1">
      <x:alignment horizontal="center" wrapText="1"/>
    </x:xf>
    <x:xf numFmtId="0" fontId="8" fillId="10" borderId="54" xfId="0" applyNumberFormat="1" applyFont="1" applyFill="1" applyBorder="1" applyAlignment="1">
      <x:alignment horizontal="center" wrapText="1"/>
    </x:xf>
    <x:xf numFmtId="0" fontId="8" fillId="10" borderId="55" xfId="0" applyNumberFormat="1" applyFont="1" applyFill="1" applyBorder="1" applyAlignment="1">
      <x:alignment horizontal="center" wrapText="1"/>
    </x:xf>
    <x:xf numFmtId="0" fontId="8" fillId="10" borderId="56" xfId="0" applyNumberFormat="1" applyFont="1" applyFill="1" applyBorder="1" applyAlignment="1">
      <x:alignment horizontal="center" wrapText="1"/>
    </x:xf>
    <x:xf numFmtId="0" fontId="8" fillId="10" borderId="0" xfId="0" applyNumberFormat="1" applyFont="1" applyFill="1" applyBorder="1" applyAlignment="1">
      <x:alignment horizontal="center" wrapText="1"/>
    </x:xf>
    <x:xf numFmtId="0" fontId="8" fillId="10" borderId="57" xfId="0" applyNumberFormat="1" applyFont="1" applyFill="1" applyBorder="1" applyAlignment="1">
      <x:alignment horizontal="center" wrapText="1"/>
    </x:xf>
    <x:xf numFmtId="0" fontId="8" fillId="10" borderId="58" xfId="0" applyNumberFormat="1" applyFont="1" applyFill="1" applyBorder="1" applyAlignment="1">
      <x:alignment horizontal="center" wrapText="1"/>
    </x:xf>
    <x:xf numFmtId="0" fontId="8" fillId="10" borderId="59" xfId="0" applyNumberFormat="1" applyFont="1" applyFill="1" applyBorder="1" applyAlignment="1">
      <x:alignment horizontal="center" wrapText="1"/>
    </x:xf>
    <x:xf numFmtId="0" fontId="8" fillId="10" borderId="60" xfId="0" applyNumberFormat="1" applyFont="1" applyFill="1" applyBorder="1" applyAlignment="1">
      <x:alignment horizontal="center" wrapText="1"/>
    </x:xf>
    <x:xf numFmtId="0" fontId="8" fillId="10" borderId="53" xfId="0" applyNumberFormat="1" applyFont="1" applyFill="1" applyBorder="1" applyAlignment="1">
      <x:alignment horizontal="center" vertical="center" wrapText="1"/>
    </x:xf>
    <x:xf numFmtId="0" fontId="8" fillId="10" borderId="54" xfId="0" applyNumberFormat="1" applyFont="1" applyFill="1" applyBorder="1" applyAlignment="1">
      <x:alignment horizontal="center" vertical="center" wrapText="1"/>
    </x:xf>
    <x:xf numFmtId="0" fontId="8" fillId="10" borderId="55" xfId="0" applyNumberFormat="1" applyFont="1" applyFill="1" applyBorder="1" applyAlignment="1">
      <x:alignment horizontal="center" vertical="center" wrapText="1"/>
    </x:xf>
    <x:xf numFmtId="0" fontId="8" fillId="10" borderId="56" xfId="0" applyNumberFormat="1" applyFont="1" applyFill="1" applyBorder="1" applyAlignment="1">
      <x:alignment horizontal="center" vertical="center" wrapText="1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8" fillId="10" borderId="57" xfId="0" applyNumberFormat="1" applyFont="1" applyFill="1" applyBorder="1" applyAlignment="1">
      <x:alignment horizontal="center" vertical="center" wrapText="1"/>
    </x:xf>
    <x:xf numFmtId="0" fontId="8" fillId="10" borderId="58" xfId="0" applyNumberFormat="1" applyFont="1" applyFill="1" applyBorder="1" applyAlignment="1">
      <x:alignment horizontal="center" vertical="center" wrapText="1"/>
    </x:xf>
    <x:xf numFmtId="0" fontId="8" fillId="10" borderId="59" xfId="0" applyNumberFormat="1" applyFont="1" applyFill="1" applyBorder="1" applyAlignment="1">
      <x:alignment horizontal="center" vertical="center" wrapText="1"/>
    </x:xf>
    <x:xf numFmtId="0" fontId="8" fillId="10" borderId="60" xfId="0" applyNumberFormat="1" applyFont="1" applyFill="1" applyBorder="1" applyAlignment="1">
      <x:alignment horizontal="center" vertical="center" wrapText="1"/>
    </x:xf>
    <x:xf numFmtId="0" fontId="0" fillId="10" borderId="12" xfId="0" applyNumberFormat="1" applyFont="1" applyFill="1" applyBorder="1"/>
    <x:xf numFmtId="0" fontId="8" fillId="10" borderId="12" xfId="0" applyNumberFormat="1" applyFont="1" applyFill="1" applyBorder="1"/>
    <x:xf numFmtId="0" fontId="8" fillId="10" borderId="61" xfId="0" applyNumberFormat="1" applyFont="1" applyFill="1" applyBorder="1"/>
    <x:xf numFmtId="0" fontId="8" fillId="10" borderId="62" xfId="0" applyNumberFormat="1" applyFont="1" applyFill="1" applyBorder="1"/>
    <x:xf numFmtId="0" fontId="8" fillId="10" borderId="63" xfId="0" applyNumberFormat="1" applyFont="1" applyFill="1" applyBorder="1"/>
    <x:xf numFmtId="0" fontId="8" fillId="10" borderId="64" xfId="0" applyNumberFormat="1" applyFont="1" applyFill="1" applyBorder="1"/>
    <x:xf numFmtId="0" fontId="8" fillId="10" borderId="65" xfId="0" applyNumberFormat="1" applyFont="1" applyFill="1" applyBorder="1"/>
    <x:xf numFmtId="0" fontId="8" fillId="10" borderId="66" xfId="0" applyNumberFormat="1" applyFont="1" applyFill="1" applyBorder="1"/>
    <x:xf numFmtId="0" fontId="8" fillId="10" borderId="67" xfId="0" applyNumberFormat="1" applyFont="1" applyFill="1" applyBorder="1"/>
    <x:xf numFmtId="0" fontId="8" fillId="10" borderId="68" xfId="0" applyNumberFormat="1" applyFont="1" applyFill="1" applyBorder="1"/>
    <x:xf numFmtId="0" fontId="8" fillId="10" borderId="61" xfId="0" applyNumberFormat="1" applyFont="1" applyFill="1" applyBorder="1" applyAlignment="1">
      <x:alignment wrapText="1"/>
    </x:xf>
    <x:xf numFmtId="0" fontId="8" fillId="10" borderId="62" xfId="0" applyNumberFormat="1" applyFont="1" applyFill="1" applyBorder="1" applyAlignment="1">
      <x:alignment wrapText="1"/>
    </x:xf>
    <x:xf numFmtId="0" fontId="8" fillId="10" borderId="63" xfId="0" applyNumberFormat="1" applyFont="1" applyFill="1" applyBorder="1" applyAlignment="1">
      <x:alignment wrapText="1"/>
    </x:xf>
    <x:xf numFmtId="0" fontId="8" fillId="10" borderId="64" xfId="0" applyNumberFormat="1" applyFont="1" applyFill="1" applyBorder="1" applyAlignment="1">
      <x:alignment wrapText="1"/>
    </x:xf>
    <x:xf numFmtId="0" fontId="8" fillId="10" borderId="12" xfId="0" applyNumberFormat="1" applyFont="1" applyFill="1" applyBorder="1" applyAlignment="1">
      <x:alignment wrapText="1"/>
    </x:xf>
    <x:xf numFmtId="0" fontId="8" fillId="10" borderId="65" xfId="0" applyNumberFormat="1" applyFont="1" applyFill="1" applyBorder="1" applyAlignment="1">
      <x:alignment wrapText="1"/>
    </x:xf>
    <x:xf numFmtId="0" fontId="8" fillId="10" borderId="66" xfId="0" applyNumberFormat="1" applyFont="1" applyFill="1" applyBorder="1" applyAlignment="1">
      <x:alignment wrapText="1"/>
    </x:xf>
    <x:xf numFmtId="0" fontId="8" fillId="10" borderId="67" xfId="0" applyNumberFormat="1" applyFont="1" applyFill="1" applyBorder="1" applyAlignment="1">
      <x:alignment wrapText="1"/>
    </x:xf>
    <x:xf numFmtId="0" fontId="8" fillId="10" borderId="68" xfId="0" applyNumberFormat="1" applyFont="1" applyFill="1" applyBorder="1" applyAlignment="1">
      <x:alignment wrapText="1"/>
    </x:xf>
    <x:xf numFmtId="0" fontId="8" fillId="10" borderId="61" xfId="0" applyNumberFormat="1" applyFont="1" applyFill="1" applyBorder="1" applyAlignment="1">
      <x:alignment horizontal="center" wrapText="1"/>
    </x:xf>
    <x:xf numFmtId="0" fontId="8" fillId="10" borderId="62" xfId="0" applyNumberFormat="1" applyFont="1" applyFill="1" applyBorder="1" applyAlignment="1">
      <x:alignment horizontal="center" wrapText="1"/>
    </x:xf>
    <x:xf numFmtId="0" fontId="8" fillId="10" borderId="63" xfId="0" applyNumberFormat="1" applyFont="1" applyFill="1" applyBorder="1" applyAlignment="1">
      <x:alignment horizontal="center" wrapText="1"/>
    </x:xf>
    <x:xf numFmtId="0" fontId="8" fillId="10" borderId="64" xfId="0" applyNumberFormat="1" applyFont="1" applyFill="1" applyBorder="1" applyAlignment="1">
      <x:alignment horizontal="center" wrapText="1"/>
    </x:xf>
    <x:xf numFmtId="0" fontId="8" fillId="10" borderId="12" xfId="0" applyNumberFormat="1" applyFont="1" applyFill="1" applyBorder="1" applyAlignment="1">
      <x:alignment horizontal="center" wrapText="1"/>
    </x:xf>
    <x:xf numFmtId="0" fontId="8" fillId="10" borderId="65" xfId="0" applyNumberFormat="1" applyFont="1" applyFill="1" applyBorder="1" applyAlignment="1">
      <x:alignment horizontal="center" wrapText="1"/>
    </x:xf>
    <x:xf numFmtId="0" fontId="8" fillId="10" borderId="66" xfId="0" applyNumberFormat="1" applyFont="1" applyFill="1" applyBorder="1" applyAlignment="1">
      <x:alignment horizontal="center" wrapText="1"/>
    </x:xf>
    <x:xf numFmtId="0" fontId="8" fillId="10" borderId="67" xfId="0" applyNumberFormat="1" applyFont="1" applyFill="1" applyBorder="1" applyAlignment="1">
      <x:alignment horizontal="center" wrapText="1"/>
    </x:xf>
    <x:xf numFmtId="0" fontId="8" fillId="10" borderId="68" xfId="0" applyNumberFormat="1" applyFont="1" applyFill="1" applyBorder="1" applyAlignment="1">
      <x:alignment horizontal="center" wrapText="1"/>
    </x:xf>
    <x:xf numFmtId="0" fontId="8" fillId="10" borderId="61" xfId="0" applyNumberFormat="1" applyFont="1" applyFill="1" applyBorder="1" applyAlignment="1">
      <x:alignment horizontal="center" vertical="center" wrapText="1"/>
    </x:xf>
    <x:xf numFmtId="0" fontId="8" fillId="10" borderId="62" xfId="0" applyNumberFormat="1" applyFont="1" applyFill="1" applyBorder="1" applyAlignment="1">
      <x:alignment horizontal="center" vertical="center" wrapText="1"/>
    </x:xf>
    <x:xf numFmtId="0" fontId="8" fillId="10" borderId="63" xfId="0" applyNumberFormat="1" applyFont="1" applyFill="1" applyBorder="1" applyAlignment="1">
      <x:alignment horizontal="center" vertical="center" wrapText="1"/>
    </x:xf>
    <x:xf numFmtId="0" fontId="8" fillId="10" borderId="64" xfId="0" applyNumberFormat="1" applyFont="1" applyFill="1" applyBorder="1" applyAlignment="1">
      <x:alignment horizontal="center" vertical="center" wrapText="1"/>
    </x:xf>
    <x:xf numFmtId="0" fontId="8" fillId="10" borderId="12" xfId="0" applyNumberFormat="1" applyFont="1" applyFill="1" applyBorder="1" applyAlignment="1">
      <x:alignment horizontal="center" vertical="center" wrapText="1"/>
    </x:xf>
    <x:xf numFmtId="0" fontId="8" fillId="10" borderId="65" xfId="0" applyNumberFormat="1" applyFont="1" applyFill="1" applyBorder="1" applyAlignment="1">
      <x:alignment horizontal="center" vertical="center" wrapText="1"/>
    </x:xf>
    <x:xf numFmtId="0" fontId="8" fillId="10" borderId="66" xfId="0" applyNumberFormat="1" applyFont="1" applyFill="1" applyBorder="1" applyAlignment="1">
      <x:alignment horizontal="center" vertical="center" wrapText="1"/>
    </x:xf>
    <x:xf numFmtId="0" fontId="8" fillId="10" borderId="67" xfId="0" applyNumberFormat="1" applyFont="1" applyFill="1" applyBorder="1" applyAlignment="1">
      <x:alignment horizontal="center" vertical="center" wrapText="1"/>
    </x:xf>
    <x:xf numFmtId="0" fontId="8" fillId="10" borderId="68" xfId="0" applyNumberFormat="1" applyFont="1" applyFill="1" applyBorder="1" applyAlignment="1">
      <x:alignment horizontal="center" vertical="center" wrapText="1"/>
    </x:xf>
    <x:xf numFmtId="0" fontId="6" fillId="8" borderId="69" xfId="0" applyNumberFormat="1" applyFont="1" applyFill="1" applyBorder="1"/>
    <x:xf numFmtId="0" fontId="6" fillId="8" borderId="70" xfId="0" applyNumberFormat="1" applyFont="1" applyFill="1" applyBorder="1"/>
    <x:xf numFmtId="0" fontId="6" fillId="8" borderId="69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wrapText="1"/>
    </x:xf>
    <x:xf numFmtId="0" fontId="6" fillId="8" borderId="70" xfId="0" applyNumberFormat="1" applyFont="1" applyFill="1" applyBorder="1" applyAlignment="1">
      <x:alignment wrapText="1"/>
    </x:xf>
    <x:xf numFmtId="0" fontId="6" fillId="8" borderId="69" xfId="0" applyNumberFormat="1" applyFont="1" applyFill="1" applyBorder="1" applyAlignment="1">
      <x:alignment horizontal="center" wrapText="1"/>
    </x:xf>
    <x:xf numFmtId="0" fontId="6" fillId="8" borderId="0" xfId="0" applyNumberFormat="1" applyFont="1" applyFill="1" applyBorder="1" applyAlignment="1">
      <x:alignment horizontal="center" wrapText="1"/>
    </x:xf>
    <x:xf numFmtId="0" fontId="6" fillId="8" borderId="70" xfId="0" applyNumberFormat="1" applyFont="1" applyFill="1" applyBorder="1" applyAlignment="1">
      <x:alignment horizontal="center" wrapText="1"/>
    </x:xf>
    <x:xf numFmtId="0" fontId="6" fillId="8" borderId="69" xfId="0" applyNumberFormat="1" applyFont="1" applyFill="1" applyBorder="1" applyAlignment="1">
      <x:alignment horizontal="center" vertical="center" wrapText="1"/>
    </x:xf>
    <x:xf numFmtId="0" fontId="6" fillId="8" borderId="0" xfId="0" applyNumberFormat="1" applyFont="1" applyFill="1" applyBorder="1" applyAlignment="1">
      <x:alignment horizontal="center" vertical="center" wrapText="1"/>
    </x:xf>
    <x:xf numFmtId="0" fontId="6" fillId="8" borderId="70" xfId="0" applyNumberFormat="1" applyFont="1" applyFill="1" applyBorder="1" applyAlignment="1">
      <x:alignment horizontal="center" vertical="center" wrapText="1"/>
    </x:xf>
    <x:xf numFmtId="0" fontId="6" fillId="8" borderId="71" xfId="0" applyNumberFormat="1" applyFont="1" applyFill="1" applyBorder="1"/>
    <x:xf numFmtId="0" fontId="6" fillId="8" borderId="72" xfId="0" applyNumberFormat="1" applyFont="1" applyFill="1" applyBorder="1"/>
    <x:xf numFmtId="0" fontId="6" fillId="8" borderId="71" xfId="0" applyNumberFormat="1" applyFont="1" applyFill="1" applyBorder="1" applyAlignment="1">
      <x:alignment wrapText="1"/>
    </x:xf>
    <x:xf numFmtId="0" fontId="6" fillId="8" borderId="12" xfId="0" applyNumberFormat="1" applyFont="1" applyFill="1" applyBorder="1" applyAlignment="1">
      <x:alignment wrapText="1"/>
    </x:xf>
    <x:xf numFmtId="0" fontId="6" fillId="8" borderId="72" xfId="0" applyNumberFormat="1" applyFont="1" applyFill="1" applyBorder="1" applyAlignment="1">
      <x:alignment wrapText="1"/>
    </x:xf>
    <x:xf numFmtId="0" fontId="6" fillId="8" borderId="71" xfId="0" applyNumberFormat="1" applyFont="1" applyFill="1" applyBorder="1" applyAlignment="1">
      <x:alignment horizontal="center" wrapText="1"/>
    </x:xf>
    <x:xf numFmtId="0" fontId="6" fillId="8" borderId="12" xfId="0" applyNumberFormat="1" applyFont="1" applyFill="1" applyBorder="1" applyAlignment="1">
      <x:alignment horizontal="center" wrapText="1"/>
    </x:xf>
    <x:xf numFmtId="0" fontId="6" fillId="8" borderId="72" xfId="0" applyNumberFormat="1" applyFont="1" applyFill="1" applyBorder="1" applyAlignment="1">
      <x:alignment horizontal="center" wrapText="1"/>
    </x:xf>
    <x:xf numFmtId="0" fontId="6" fillId="8" borderId="71" xfId="0" applyNumberFormat="1" applyFont="1" applyFill="1" applyBorder="1" applyAlignment="1">
      <x:alignment horizontal="center" vertical="center" wrapText="1"/>
    </x:xf>
    <x:xf numFmtId="0" fontId="6" fillId="8" borderId="12" xfId="0" applyNumberFormat="1" applyFont="1" applyFill="1" applyBorder="1" applyAlignment="1">
      <x:alignment horizontal="center" vertical="center" wrapText="1"/>
    </x:xf>
    <x:xf numFmtId="0" fontId="6" fillId="8" borderId="72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9" fillId="11" borderId="0" xfId="0" applyNumberFormat="1" applyFont="1" applyFill="1" applyBorder="1" applyAlignment="1">
      <x:alignment wrapText="1"/>
    </x:xf>
    <x:xf numFmtId="0" fontId="9" fillId="11" borderId="0" xfId="0" applyNumberFormat="1" applyFont="1" applyFill="1" applyBorder="1" applyAlignment="1">
      <x:alignment horizontal="left" wrapText="1"/>
    </x:xf>
    <x:xf numFmtId="0" fontId="9" fillId="11" borderId="0" xfId="0" applyNumberFormat="1" applyFont="1" applyFill="1" applyBorder="1" applyAlignment="1">
      <x:alignment horizontal="left" vertical="center" wrapText="1"/>
    </x:xf>
    <x:xf numFmtId="0" fontId="0" fillId="11" borderId="12" xfId="0" applyNumberFormat="1" applyFont="1" applyFill="1" applyBorder="1"/>
    <x:xf numFmtId="0" fontId="9" fillId="11" borderId="12" xfId="0" applyNumberFormat="1" applyFont="1" applyFill="1" applyBorder="1"/>
    <x:xf numFmtId="0" fontId="9" fillId="11" borderId="12" xfId="0" applyNumberFormat="1" applyFont="1" applyFill="1" applyBorder="1" applyAlignment="1">
      <x:alignment wrapText="1"/>
    </x:xf>
    <x:xf numFmtId="0" fontId="9" fillId="11" borderId="12" xfId="0" applyNumberFormat="1" applyFont="1" applyFill="1" applyBorder="1" applyAlignment="1">
      <x:alignment horizontal="left" wrapText="1"/>
    </x:xf>
    <x:xf numFmtId="0" fontId="9" fillId="11" borderId="12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8">
    <x:dxf>
      <x:font>
        <x:color rgb="FF548235"/>
      </x:font>
      <x:fill>
        <x:patternFill>
          <x:bgColor rgb="FFE2F0D9"/>
        </x:patternFill>
      </x:fill>
    </x:dxf>
    <x:dxf>
      <x:font>
        <x:b/>
        <x:color rgb="FFC65911"/>
      </x:font>
      <x:fill>
        <x:patternFill>
          <x:bgColor rgb="FFFCE4D6"/>
        </x:patternFill>
      </x:fill>
    </x:dxf>
    <x:dxf>
      <x:font>
        <x:color rgb="FF548235"/>
      </x:font>
      <x:fill>
        <x:patternFill>
          <x:bgColor rgb="FFE2F0D9"/>
        </x:patternFill>
      </x:fill>
    </x:dxf>
    <x:dxf>
      <x:font>
        <x:b/>
        <x:color rgb="FFC65911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548235"/>
      </x:font>
      <x:fill>
        <x:patternFill>
          <x:bgColor rgb="FFE2F0D9"/>
        </x:patternFill>
      </x:fill>
    </x:dxf>
    <x:dxf>
      <x:font>
        <x:b/>
        <x:color rgb="FFC65911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d196284b6d489a" /><Relationship Type="http://schemas.openxmlformats.org/officeDocument/2006/relationships/theme" Target="/xl/theme/theme1.xml" Id="R462a441928854b5f" /><Relationship Type="http://schemas.openxmlformats.org/officeDocument/2006/relationships/sharedStrings" Target="/xl/sharedStrings.xml" Id="Rb6a7efcf937e4ddf" /><Relationship Type="http://schemas.openxmlformats.org/officeDocument/2006/relationships/worksheet" Target="/xl/worksheets/sheet1.xml" Id="R15ee28e9b33943ae" /><Relationship Type="http://schemas.openxmlformats.org/officeDocument/2006/relationships/worksheet" Target="/xl/worksheets/sheet2.xml" Id="R454c1fed87c64aae" /><Relationship Type="http://schemas.openxmlformats.org/officeDocument/2006/relationships/worksheet" Target="/xl/worksheets/sheet3.xml" Id="R8529e0ea68944552" /><Relationship Type="http://schemas.openxmlformats.org/officeDocument/2006/relationships/worksheet" Target="/xl/worksheets/sheet4.xml" Id="R7003368d020349ec" /><Relationship Type="http://schemas.openxmlformats.org/officeDocument/2006/relationships/worksheet" Target="/xl/worksheets/sheet5.xml" Id="R1dd0b140bb3d458c" /><Relationship Type="http://schemas.openxmlformats.org/officeDocument/2006/relationships/worksheet" Target="/xl/worksheets/sheet6.xml" Id="R1190420a17cf45c4" /><Relationship Type="http://schemas.openxmlformats.org/officeDocument/2006/relationships/worksheet" Target="/xl/worksheets/sheet7.xml" Id="R5445a468b76f4679" /><Relationship Type="http://schemas.openxmlformats.org/officeDocument/2006/relationships/worksheet" Target="/xl/worksheets/sheet8.xml" Id="R7dfde03ee6114f19" /></Relationships>
</file>

<file path=xl/tables/table1.xml><?xml version="1.0" encoding="utf-8"?>
<x:table xmlns:x="http://schemas.openxmlformats.org/spreadsheetml/2006/main" id="1" name="HQCThayđổiTable" displayName="HQCThayđổiTable" ref="A4:M16">
  <x:tableColumns count="13">
    <x:tableColumn id="1" name="Change ID"/>
    <x:tableColumn id="2" name="Architecture Area"/>
    <x:tableColumn id="3" name="ver 03082026"/>
    <x:tableColumn id="4" name="ver 05082026"/>
    <x:tableColumn id="5" name="Impact"/>
    <x:tableColumn id="6" name="Decision"/>
    <x:tableColumn id="7" name="Rationale / Benefit"/>
    <x:tableColumn id="8" name="Affected Components"/>
    <x:tableColumn id="9" name="Implementation Note"/>
    <x:tableColumn id="10" name="Priority"/>
    <x:tableColumn id="11" name="Owner"/>
    <x:tableColumn id="12" name="Status"/>
    <x:tableColumn id="13" name="Source"/>
  </x:tableColumns>
  <x:tableStyleInfo name="TableStyleMedium2" showRowStripes="1"/>
</x:table>
</file>

<file path=xl/tables/table2.xml><?xml version="1.0" encoding="utf-8"?>
<x:table xmlns:x="http://schemas.openxmlformats.org/spreadsheetml/2006/main" id="2" name="5SThayđổiTable" displayName="_5SThayđổiTable" ref="A4:M14">
  <x:tableColumns count="13">
    <x:tableColumn id="1" name="Change ID"/>
    <x:tableColumn id="2" name="Architecture Area"/>
    <x:tableColumn id="3" name="ver 03082026"/>
    <x:tableColumn id="4" name="ver 05082026"/>
    <x:tableColumn id="5" name="Impact"/>
    <x:tableColumn id="6" name="Decision"/>
    <x:tableColumn id="7" name="Rationale / Benefit"/>
    <x:tableColumn id="8" name="Affected Components"/>
    <x:tableColumn id="9" name="Implementation Note"/>
    <x:tableColumn id="10" name="Priority"/>
    <x:tableColumn id="11" name="Owner"/>
    <x:tableColumn id="12" name="Status"/>
    <x:tableColumn id="13" name="Source"/>
  </x:tableColumns>
  <x:tableStyleInfo name="TableStyleMedium2" showRowStripes="1"/>
</x:table>
</file>

<file path=xl/tables/table3.xml><?xml version="1.0" encoding="utf-8"?>
<x:table xmlns:x="http://schemas.openxmlformats.org/spreadsheetml/2006/main" id="3" name="BacklogTable" displayName="BacklogTable" ref="A4:H16">
  <x:tableColumns count="8">
    <x:tableColumn id="1" name="Backlog ID"/>
    <x:tableColumn id="2" name="Project"/>
    <x:tableColumn id="3" name="Work Item"/>
    <x:tableColumn id="4" name="Priority"/>
    <x:tableColumn id="5" name="Owner"/>
    <x:tableColumn id="6" name="Status"/>
    <x:tableColumn id="7" name="Related Change IDs"/>
    <x:tableColumn id="8" name="Acceptance Criteria"/>
  </x:tableColumns>
  <x:tableStyleInfo name="TableStyleMedium2" showRowStripes="1"/>
</x:table>
</file>

<file path=xl/tables/table4.xml><?xml version="1.0" encoding="utf-8"?>
<x:table xmlns:x="http://schemas.openxmlformats.org/spreadsheetml/2006/main" id="4" name="DecisionTable" displayName="DecisionTable" ref="A4:G10">
  <x:tableColumns count="7">
    <x:tableColumn id="1" name="ADR ID"/>
    <x:tableColumn id="2" name="Date"/>
    <x:tableColumn id="3" name="Scope"/>
    <x:tableColumn id="4" name="Decision"/>
    <x:tableColumn id="5" name="Status"/>
    <x:tableColumn id="6" name="Reason"/>
    <x:tableColumn id="7" name="Constraint / Follow-up"/>
  </x:tableColumns>
  <x:tableStyleInfo name="TableStyleMedium2" showRowStripes="1"/>
</x:table>
</file>

<file path=xl/tables/table5.xml><?xml version="1.0" encoding="utf-8"?>
<x:table xmlns:x="http://schemas.openxmlformats.org/spreadsheetml/2006/main" id="5" name="VersionTable" displayName="VersionTable" ref="A4:F8">
  <x:tableColumns count="6">
    <x:tableColumn id="1" name="Project"/>
    <x:tableColumn id="2" name="Version"/>
    <x:tableColumn id="3" name="Date"/>
    <x:tableColumn id="4" name="Role"/>
    <x:tableColumn id="5" name="Main Content"/>
    <x:tableColumn id="6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650726a7b2448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4d49dcba78b40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e917a96b6fa4a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d098d2220b846f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d333ab6bc74417f" /></Relationships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1" width="24" customWidth="1"/>
    <x:col min="2" max="2" width="28" customWidth="1"/>
    <x:col min="3" max="3" width="29" customWidth="1"/>
    <x:col min="4" max="4" width="24" customWidth="1"/>
    <x:col min="5" max="7" width="12" customWidth="1"/>
    <x:col min="8" max="8" width="34" customWidth="1"/>
  </x:cols>
  <x:sheetData>
    <x:row r="1" ht="40" customHeight="1">
      <x:c r="A1" s="20" t="s">
        <x:v>0</x:v>
      </x:c>
      <x:c r="B1" s="20"/>
      <x:c r="C1" s="20"/>
      <x:c r="D1" s="20"/>
      <x:c r="E1" s="20"/>
      <x:c r="F1" s="20"/>
      <x:c r="G1" s="20"/>
      <x:c r="H1" s="20"/>
    </x:row>
    <x:row r="3" ht="16">
      <x:c r="A3" s="1" t="s">
        <x:v>1</x:v>
      </x:c>
      <x:c r="B3" s="1" t="s">
        <x:v>2</x:v>
      </x:c>
      <x:c r="D3" s="1" t="s">
        <x:v>3</x:v>
      </x:c>
      <x:c r="E3" s="1" t="s">
        <x:v>4</x:v>
      </x:c>
      <x:c r="F3" s="1" t="s">
        <x:v>5</x:v>
      </x:c>
      <x:c r="G3" s="1" t="s">
        <x:v>6</x:v>
      </x:c>
      <x:c r="H3" s="1" t="s">
        <x:v>7</x:v>
      </x:c>
    </x:row>
    <x:row r="4" ht="15">
      <x:c r="A4" s="2" t="s">
        <x:v>8</x:v>
      </x:c>
      <x:c r="B4" s="7">
        <x:v>46239</x:v>
      </x:c>
      <x:c r="D4" s="8" t="s">
        <x:v>9</x:v>
      </x:c>
      <x:c r="E4" s="9" t="n">
        <x:f>COUNTA('HQC - Thay đổi'!A5:A100)</x:f>
        <x:v>12</x:v>
      </x:c>
      <x:c r="F4" s="9" t="n">
        <x:f>COUNTA('5S - Thay đổi'!A5:A100)</x:f>
        <x:v>10</x:v>
      </x:c>
      <x:c r="G4" s="9" t="n">
        <x:f>E4+F4</x:f>
        <x:v>22</x:v>
      </x:c>
      <x:c r="H4" s="10" t="s">
        <x:v>10</x:v>
      </x:c>
    </x:row>
    <x:row r="5" ht="15">
      <x:c r="A5" s="3" t="s">
        <x:v>11</x:v>
      </x:c>
      <x:c r="B5" s="4" t="s">
        <x:v>12</x:v>
      </x:c>
      <x:c r="D5" s="11" t="s">
        <x:v>13</x:v>
      </x:c>
      <x:c r="E5" s="12" t="n">
        <x:f>COUNTIF('HQC - Thay đổi'!E5:E100,"Major")</x:f>
        <x:v>8</x:v>
      </x:c>
      <x:c r="F5" s="12" t="n">
        <x:f>COUNTIF('5S - Thay đổi'!E5:E100,"Major")</x:f>
        <x:v>5</x:v>
      </x:c>
      <x:c r="G5" s="12" t="n">
        <x:f>E5+F5</x:f>
        <x:v>13</x:v>
      </x:c>
      <x:c r="H5" s="13" t="s">
        <x:v>14</x:v>
      </x:c>
    </x:row>
    <x:row r="6" ht="15">
      <x:c r="A6" s="3" t="s">
        <x:v>15</x:v>
      </x:c>
      <x:c r="B6" s="4" t="s">
        <x:v>16</x:v>
      </x:c>
      <x:c r="D6" s="11" t="s">
        <x:v>17</x:v>
      </x:c>
      <x:c r="E6" s="12" t="n">
        <x:f>COUNTIF('HQC - Thay đổi'!J5:J100,"P0")</x:f>
        <x:v>7</x:v>
      </x:c>
      <x:c r="F6" s="12" t="n">
        <x:f>COUNTIF('5S - Thay đổi'!J5:J100,"P0")</x:f>
        <x:v>4</x:v>
      </x:c>
      <x:c r="G6" s="12" t="n">
        <x:f>E6+F6</x:f>
        <x:v>11</x:v>
      </x:c>
      <x:c r="H6" s="13" t="s">
        <x:v>18</x:v>
      </x:c>
    </x:row>
    <x:row r="7" ht="15">
      <x:c r="A7" s="3" t="s">
        <x:v>19</x:v>
      </x:c>
      <x:c r="B7" s="4" t="s">
        <x:v>20</x:v>
      </x:c>
      <x:c r="D7" s="11" t="s">
        <x:v>21</x:v>
      </x:c>
      <x:c r="E7" s="12" t="n">
        <x:f>COUNTIF('Quyết định'!E5:E100,"Accepted")</x:f>
        <x:v>6</x:v>
      </x:c>
      <x:c r="F7" s="12"/>
      <x:c r="G7" s="12" t="n">
        <x:f>E7</x:f>
        <x:v>6</x:v>
      </x:c>
      <x:c r="H7" s="13" t="s">
        <x:v>22</x:v>
      </x:c>
    </x:row>
    <x:row r="8" ht="15">
      <x:c r="A8" s="5" t="s">
        <x:v>23</x:v>
      </x:c>
      <x:c r="B8" s="6" t="s">
        <x:v>24</x:v>
      </x:c>
      <x:c r="D8" s="14" t="s">
        <x:v>25</x:v>
      </x:c>
      <x:c r="E8" s="15" t="n">
        <x:f>COUNTIFS(Backlog!B5:B100,"HQC",Backlog!F5:F100,"Not Started")</x:f>
        <x:v>6</x:v>
      </x:c>
      <x:c r="F8" s="15" t="n">
        <x:f>COUNTIFS(Backlog!B5:B100,"5S",Backlog!F5:F100,"Not Started")</x:f>
        <x:v>4</x:v>
      </x:c>
      <x:c r="G8" s="15" t="n">
        <x:f>COUNTIF(Backlog!F5:F100,"Not Started")</x:f>
        <x:v>12</x:v>
      </x:c>
      <x:c r="H8" s="16" t="s">
        <x:v>26</x:v>
      </x:c>
    </x:row>
    <x:row r="10" ht="15">
      <x:c r="A10" s="21" t="s">
        <x:v>27</x:v>
      </x:c>
      <x:c r="B10" s="21"/>
      <x:c r="C10" s="21"/>
      <x:c r="D10" s="21"/>
      <x:c r="E10" s="21"/>
      <x:c r="F10" s="21"/>
      <x:c r="G10" s="21"/>
      <x:c r="H10" s="21"/>
    </x:row>
    <x:row r="11" ht="15">
      <x:c r="A11" s="22" t="s">
        <x:v>28</x:v>
      </x:c>
      <x:c r="B11" s="23"/>
      <x:c r="C11" s="24" t="s">
        <x:v>29</x:v>
      </x:c>
      <x:c r="D11" s="24"/>
      <x:c r="E11" s="24"/>
      <x:c r="F11" s="24"/>
      <x:c r="G11" s="24"/>
      <x:c r="H11" s="25" t="s">
        <x:v>29</x:v>
      </x:c>
    </x:row>
    <x:row r="12" ht="15">
      <x:c r="A12" s="22" t="s">
        <x:v>30</x:v>
      </x:c>
      <x:c r="B12" s="23"/>
      <x:c r="C12" s="24" t="s">
        <x:v>31</x:v>
      </x:c>
      <x:c r="D12" s="24"/>
      <x:c r="E12" s="24"/>
      <x:c r="F12" s="24"/>
      <x:c r="G12" s="24"/>
      <x:c r="H12" s="25" t="s">
        <x:v>31</x:v>
      </x:c>
    </x:row>
    <x:row r="13" ht="15">
      <x:c r="A13" s="22" t="s">
        <x:v>32</x:v>
      </x:c>
      <x:c r="B13" s="23"/>
      <x:c r="C13" s="24" t="s">
        <x:v>33</x:v>
      </x:c>
      <x:c r="D13" s="24"/>
      <x:c r="E13" s="24"/>
      <x:c r="F13" s="24"/>
      <x:c r="G13" s="24"/>
      <x:c r="H13" s="25" t="s">
        <x:v>33</x:v>
      </x:c>
    </x:row>
    <x:row r="14" ht="15">
      <x:c r="A14" s="22" t="s">
        <x:v>34</x:v>
      </x:c>
      <x:c r="B14" s="23"/>
      <x:c r="C14" s="24" t="s">
        <x:v>35</x:v>
      </x:c>
      <x:c r="D14" s="24"/>
      <x:c r="E14" s="24"/>
      <x:c r="F14" s="24"/>
      <x:c r="G14" s="24"/>
      <x:c r="H14" s="25" t="s">
        <x:v>35</x:v>
      </x:c>
    </x:row>
    <x:row r="15" ht="15">
      <x:c r="A15" s="22" t="s">
        <x:v>36</x:v>
      </x:c>
      <x:c r="B15" s="23"/>
      <x:c r="C15" s="24" t="s">
        <x:v>37</x:v>
      </x:c>
      <x:c r="D15" s="24"/>
      <x:c r="E15" s="24"/>
      <x:c r="F15" s="24"/>
      <x:c r="G15" s="24"/>
      <x:c r="H15" s="25" t="s">
        <x:v>37</x:v>
      </x:c>
    </x:row>
    <x:row r="17">
      <x:c r="A17" s="26" t="s">
        <x:v>38</x:v>
      </x:c>
      <x:c r="B17" s="26"/>
      <x:c r="C17" s="26"/>
      <x:c r="D17" s="26"/>
      <x:c r="E17" s="26"/>
      <x:c r="F17" s="26"/>
      <x:c r="G17" s="26"/>
      <x:c r="H17" s="26"/>
    </x:row>
    <x:row r="18">
      <x:c r="A18" s="26"/>
      <x:c r="B18" s="26"/>
      <x:c r="C18" s="26"/>
      <x:c r="D18" s="26"/>
      <x:c r="E18" s="26"/>
      <x:c r="F18" s="26"/>
      <x:c r="G18" s="26"/>
      <x:c r="H18" s="26"/>
    </x:row>
  </x:sheetData>
  <x:mergeCells>
    <x:mergeCell ref="A17:H18"/>
    <x:mergeCell ref="A13:B13"/>
    <x:mergeCell ref="C13:H13"/>
    <x:mergeCell ref="A14:B14"/>
    <x:mergeCell ref="C14:H14"/>
    <x:mergeCell ref="A15:B15"/>
    <x:mergeCell ref="C15:H15"/>
    <x:mergeCell ref="A1:H1"/>
    <x:mergeCell ref="A10:H10"/>
    <x:mergeCell ref="A11:B11"/>
    <x:mergeCell ref="C11:H11"/>
    <x:mergeCell ref="A12:B12"/>
    <x:mergeCell ref="C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4"/>
  <x:cols>
    <x:col min="1" max="1" width="15" customWidth="1"/>
    <x:col min="2" max="2" width="22" customWidth="1"/>
    <x:col min="3" max="3" width="38" customWidth="1"/>
    <x:col min="4" max="4" width="42" customWidth="1"/>
    <x:col min="5" max="5" width="12" customWidth="1"/>
    <x:col min="6" max="6" width="20" customWidth="1"/>
    <x:col min="7" max="7" width="38" customWidth="1"/>
    <x:col min="8" max="8" width="30" customWidth="1"/>
    <x:col min="9" max="9" width="38" customWidth="1"/>
    <x:col min="10" max="10" width="10" customWidth="1"/>
    <x:col min="11" max="11" width="20" customWidth="1"/>
    <x:col min="12" max="12" width="14" customWidth="1"/>
    <x:col min="13" max="13" width="20" customWidth="1"/>
  </x:cols>
  <x:sheetData>
    <x:row r="1" ht="34.75" customHeight="1">
      <x:c r="A1" s="27" t="s">
        <x:v>39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</x:row>
    <x:row r="2" ht="34.75" customHeight="1">
      <x:c r="A2" s="26" t="s">
        <x:v>40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</x:row>
    <x:row r="4" ht="16">
      <x:c r="A4" s="1" t="s">
        <x:v>41</x:v>
      </x:c>
      <x:c r="B4" s="1" t="s">
        <x:v>42</x:v>
      </x:c>
      <x:c r="C4" s="1" t="s">
        <x:v>12</x:v>
      </x:c>
      <x:c r="D4" s="1" t="s">
        <x:v>16</x:v>
      </x:c>
      <x:c r="E4" s="1" t="s">
        <x:v>43</x:v>
      </x:c>
      <x:c r="F4" s="1" t="s">
        <x:v>44</x:v>
      </x:c>
      <x:c r="G4" s="1" t="s">
        <x:v>45</x:v>
      </x:c>
      <x:c r="H4" s="1" t="s">
        <x:v>46</x:v>
      </x:c>
      <x:c r="I4" s="1" t="s">
        <x:v>47</x:v>
      </x:c>
      <x:c r="J4" s="1" t="s">
        <x:v>48</x:v>
      </x:c>
      <x:c r="K4" s="1" t="s">
        <x:v>49</x:v>
      </x:c>
      <x:c r="L4" s="1" t="s">
        <x:v>50</x:v>
      </x:c>
      <x:c r="M4" s="1" t="s">
        <x:v>51</x:v>
      </x:c>
    </x:row>
    <x:row r="5" ht="31">
      <x:c r="A5" s="8" t="s">
        <x:v>52</x:v>
      </x:c>
      <x:c r="B5" s="9" t="s">
        <x:v>53</x:v>
      </x:c>
      <x:c r="C5" s="9" t="s">
        <x:v>54</x:v>
      </x:c>
      <x:c r="D5" s="9" t="s">
        <x:v>55</x:v>
      </x:c>
      <x:c r="E5" s="9" t="s">
        <x:v>13</x:v>
      </x:c>
      <x:c r="F5" s="9" t="s">
        <x:v>56</x:v>
      </x:c>
      <x:c r="G5" s="9" t="s">
        <x:v>57</x:v>
      </x:c>
      <x:c r="H5" s="9" t="s">
        <x:v>58</x:v>
      </x:c>
      <x:c r="I5" s="9" t="s">
        <x:v>59</x:v>
      </x:c>
      <x:c r="J5" s="9" t="s">
        <x:v>17</x:v>
      </x:c>
      <x:c r="K5" s="9" t="s">
        <x:v>60</x:v>
      </x:c>
      <x:c r="L5" s="9" t="s">
        <x:v>61</x:v>
      </x:c>
      <x:c r="M5" s="10" t="s">
        <x:v>62</x:v>
      </x:c>
    </x:row>
    <x:row r="6" ht="31">
      <x:c r="A6" s="11" t="s">
        <x:v>63</x:v>
      </x:c>
      <x:c r="B6" s="12" t="s">
        <x:v>64</x:v>
      </x:c>
      <x:c r="C6" s="12" t="s">
        <x:v>65</x:v>
      </x:c>
      <x:c r="D6" s="12" t="s">
        <x:v>66</x:v>
      </x:c>
      <x:c r="E6" s="12" t="s">
        <x:v>13</x:v>
      </x:c>
      <x:c r="F6" s="12" t="s">
        <x:v>56</x:v>
      </x:c>
      <x:c r="G6" s="12" t="s">
        <x:v>67</x:v>
      </x:c>
      <x:c r="H6" s="12" t="s">
        <x:v>68</x:v>
      </x:c>
      <x:c r="I6" s="12" t="s">
        <x:v>69</x:v>
      </x:c>
      <x:c r="J6" s="12" t="s">
        <x:v>17</x:v>
      </x:c>
      <x:c r="K6" s="12" t="s">
        <x:v>70</x:v>
      </x:c>
      <x:c r="L6" s="12" t="s">
        <x:v>61</x:v>
      </x:c>
      <x:c r="M6" s="13" t="s">
        <x:v>62</x:v>
      </x:c>
    </x:row>
    <x:row r="7" ht="31">
      <x:c r="A7" s="11" t="s">
        <x:v>71</x:v>
      </x:c>
      <x:c r="B7" s="12" t="s">
        <x:v>72</x:v>
      </x:c>
      <x:c r="C7" s="12" t="s">
        <x:v>73</x:v>
      </x:c>
      <x:c r="D7" s="12" t="s">
        <x:v>74</x:v>
      </x:c>
      <x:c r="E7" s="12" t="s">
        <x:v>75</x:v>
      </x:c>
      <x:c r="F7" s="12" t="s">
        <x:v>56</x:v>
      </x:c>
      <x:c r="G7" s="12" t="s">
        <x:v>76</x:v>
      </x:c>
      <x:c r="H7" s="12" t="s">
        <x:v>77</x:v>
      </x:c>
      <x:c r="I7" s="12" t="s">
        <x:v>78</x:v>
      </x:c>
      <x:c r="J7" s="12" t="s">
        <x:v>17</x:v>
      </x:c>
      <x:c r="K7" s="12" t="s">
        <x:v>79</x:v>
      </x:c>
      <x:c r="L7" s="12" t="s">
        <x:v>61</x:v>
      </x:c>
      <x:c r="M7" s="13" t="s">
        <x:v>62</x:v>
      </x:c>
    </x:row>
    <x:row r="8" ht="31">
      <x:c r="A8" s="11" t="s">
        <x:v>80</x:v>
      </x:c>
      <x:c r="B8" s="12" t="s">
        <x:v>81</x:v>
      </x:c>
      <x:c r="C8" s="12" t="s">
        <x:v>82</x:v>
      </x:c>
      <x:c r="D8" s="12" t="s">
        <x:v>83</x:v>
      </x:c>
      <x:c r="E8" s="12" t="s">
        <x:v>13</x:v>
      </x:c>
      <x:c r="F8" s="12" t="s">
        <x:v>84</x:v>
      </x:c>
      <x:c r="G8" s="12" t="s">
        <x:v>85</x:v>
      </x:c>
      <x:c r="H8" s="12" t="s">
        <x:v>86</x:v>
      </x:c>
      <x:c r="I8" s="12" t="s">
        <x:v>87</x:v>
      </x:c>
      <x:c r="J8" s="12" t="s">
        <x:v>88</x:v>
      </x:c>
      <x:c r="K8" s="12" t="s">
        <x:v>70</x:v>
      </x:c>
      <x:c r="L8" s="12" t="s">
        <x:v>61</x:v>
      </x:c>
      <x:c r="M8" s="13" t="s">
        <x:v>62</x:v>
      </x:c>
    </x:row>
    <x:row r="9" ht="31">
      <x:c r="A9" s="11" t="s">
        <x:v>89</x:v>
      </x:c>
      <x:c r="B9" s="12" t="s">
        <x:v>90</x:v>
      </x:c>
      <x:c r="C9" s="12" t="s">
        <x:v>91</x:v>
      </x:c>
      <x:c r="D9" s="12" t="s">
        <x:v>92</x:v>
      </x:c>
      <x:c r="E9" s="12" t="s">
        <x:v>13</x:v>
      </x:c>
      <x:c r="F9" s="12" t="s">
        <x:v>56</x:v>
      </x:c>
      <x:c r="G9" s="12" t="s">
        <x:v>93</x:v>
      </x:c>
      <x:c r="H9" s="12" t="s">
        <x:v>94</x:v>
      </x:c>
      <x:c r="I9" s="12" t="s">
        <x:v>95</x:v>
      </x:c>
      <x:c r="J9" s="12" t="s">
        <x:v>17</x:v>
      </x:c>
      <x:c r="K9" s="12" t="s">
        <x:v>96</x:v>
      </x:c>
      <x:c r="L9" s="12" t="s">
        <x:v>61</x:v>
      </x:c>
      <x:c r="M9" s="13" t="s">
        <x:v>62</x:v>
      </x:c>
    </x:row>
    <x:row r="10" ht="31">
      <x:c r="A10" s="11" t="s">
        <x:v>97</x:v>
      </x:c>
      <x:c r="B10" s="12" t="s">
        <x:v>98</x:v>
      </x:c>
      <x:c r="C10" s="12" t="s">
        <x:v>99</x:v>
      </x:c>
      <x:c r="D10" s="12" t="s">
        <x:v>100</x:v>
      </x:c>
      <x:c r="E10" s="12" t="s">
        <x:v>13</x:v>
      </x:c>
      <x:c r="F10" s="12" t="s">
        <x:v>56</x:v>
      </x:c>
      <x:c r="G10" s="12" t="s">
        <x:v>101</x:v>
      </x:c>
      <x:c r="H10" s="12" t="s">
        <x:v>102</x:v>
      </x:c>
      <x:c r="I10" s="12" t="s">
        <x:v>103</x:v>
      </x:c>
      <x:c r="J10" s="12" t="s">
        <x:v>17</x:v>
      </x:c>
      <x:c r="K10" s="12" t="s">
        <x:v>104</x:v>
      </x:c>
      <x:c r="L10" s="12" t="s">
        <x:v>61</x:v>
      </x:c>
      <x:c r="M10" s="13" t="s">
        <x:v>62</x:v>
      </x:c>
    </x:row>
    <x:row r="11" ht="30">
      <x:c r="A11" s="11" t="s">
        <x:v>105</x:v>
      </x:c>
      <x:c r="B11" s="12" t="s">
        <x:v>106</x:v>
      </x:c>
      <x:c r="C11" s="12" t="s">
        <x:v>107</x:v>
      </x:c>
      <x:c r="D11" s="12" t="s">
        <x:v>108</x:v>
      </x:c>
      <x:c r="E11" s="12" t="s">
        <x:v>75</x:v>
      </x:c>
      <x:c r="F11" s="12" t="s">
        <x:v>56</x:v>
      </x:c>
      <x:c r="G11" s="12" t="s">
        <x:v>109</x:v>
      </x:c>
      <x:c r="H11" s="12" t="s">
        <x:v>110</x:v>
      </x:c>
      <x:c r="I11" s="12" t="s">
        <x:v>111</x:v>
      </x:c>
      <x:c r="J11" s="12" t="s">
        <x:v>88</x:v>
      </x:c>
      <x:c r="K11" s="12" t="s">
        <x:v>79</x:v>
      </x:c>
      <x:c r="L11" s="12" t="s">
        <x:v>61</x:v>
      </x:c>
      <x:c r="M11" s="13" t="s">
        <x:v>62</x:v>
      </x:c>
    </x:row>
    <x:row r="12" ht="31">
      <x:c r="A12" s="11" t="s">
        <x:v>112</x:v>
      </x:c>
      <x:c r="B12" s="12" t="s">
        <x:v>113</x:v>
      </x:c>
      <x:c r="C12" s="12" t="s">
        <x:v>114</x:v>
      </x:c>
      <x:c r="D12" s="12" t="s">
        <x:v>115</x:v>
      </x:c>
      <x:c r="E12" s="12" t="s">
        <x:v>13</x:v>
      </x:c>
      <x:c r="F12" s="12" t="s">
        <x:v>116</x:v>
      </x:c>
      <x:c r="G12" s="12" t="s">
        <x:v>117</x:v>
      </x:c>
      <x:c r="H12" s="12" t="s">
        <x:v>118</x:v>
      </x:c>
      <x:c r="I12" s="12" t="s">
        <x:v>119</x:v>
      </x:c>
      <x:c r="J12" s="12" t="s">
        <x:v>88</x:v>
      </x:c>
      <x:c r="K12" s="12" t="s">
        <x:v>120</x:v>
      </x:c>
      <x:c r="L12" s="12" t="s">
        <x:v>61</x:v>
      </x:c>
      <x:c r="M12" s="13" t="s">
        <x:v>121</x:v>
      </x:c>
    </x:row>
    <x:row r="13" ht="31">
      <x:c r="A13" s="11" t="s">
        <x:v>122</x:v>
      </x:c>
      <x:c r="B13" s="12" t="s">
        <x:v>123</x:v>
      </x:c>
      <x:c r="C13" s="12" t="s">
        <x:v>124</x:v>
      </x:c>
      <x:c r="D13" s="12" t="s">
        <x:v>125</x:v>
      </x:c>
      <x:c r="E13" s="12" t="s">
        <x:v>13</x:v>
      </x:c>
      <x:c r="F13" s="12" t="s">
        <x:v>116</x:v>
      </x:c>
      <x:c r="G13" s="12" t="s">
        <x:v>126</x:v>
      </x:c>
      <x:c r="H13" s="12" t="s">
        <x:v>127</x:v>
      </x:c>
      <x:c r="I13" s="12" t="s">
        <x:v>128</x:v>
      </x:c>
      <x:c r="J13" s="12" t="s">
        <x:v>88</x:v>
      </x:c>
      <x:c r="K13" s="12" t="s">
        <x:v>120</x:v>
      </x:c>
      <x:c r="L13" s="12" t="s">
        <x:v>61</x:v>
      </x:c>
      <x:c r="M13" s="13" t="s">
        <x:v>121</x:v>
      </x:c>
    </x:row>
    <x:row r="14" ht="31">
      <x:c r="A14" s="11" t="s">
        <x:v>129</x:v>
      </x:c>
      <x:c r="B14" s="12" t="s">
        <x:v>130</x:v>
      </x:c>
      <x:c r="C14" s="12" t="s">
        <x:v>131</x:v>
      </x:c>
      <x:c r="D14" s="12" t="s">
        <x:v>132</x:v>
      </x:c>
      <x:c r="E14" s="12" t="s">
        <x:v>13</x:v>
      </x:c>
      <x:c r="F14" s="12" t="s">
        <x:v>56</x:v>
      </x:c>
      <x:c r="G14" s="12" t="s">
        <x:v>133</x:v>
      </x:c>
      <x:c r="H14" s="12" t="s">
        <x:v>134</x:v>
      </x:c>
      <x:c r="I14" s="12" t="s">
        <x:v>135</x:v>
      </x:c>
      <x:c r="J14" s="12" t="s">
        <x:v>17</x:v>
      </x:c>
      <x:c r="K14" s="12" t="s">
        <x:v>79</x:v>
      </x:c>
      <x:c r="L14" s="12" t="s">
        <x:v>61</x:v>
      </x:c>
      <x:c r="M14" s="13" t="s">
        <x:v>121</x:v>
      </x:c>
    </x:row>
    <x:row r="15" ht="31">
      <x:c r="A15" s="11" t="s">
        <x:v>136</x:v>
      </x:c>
      <x:c r="B15" s="12" t="s">
        <x:v>137</x:v>
      </x:c>
      <x:c r="C15" s="12" t="s">
        <x:v>138</x:v>
      </x:c>
      <x:c r="D15" s="12" t="s">
        <x:v>139</x:v>
      </x:c>
      <x:c r="E15" s="12" t="s">
        <x:v>75</x:v>
      </x:c>
      <x:c r="F15" s="12" t="s">
        <x:v>56</x:v>
      </x:c>
      <x:c r="G15" s="12" t="s">
        <x:v>140</x:v>
      </x:c>
      <x:c r="H15" s="12" t="s">
        <x:v>141</x:v>
      </x:c>
      <x:c r="I15" s="12" t="s">
        <x:v>142</x:v>
      </x:c>
      <x:c r="J15" s="12" t="s">
        <x:v>17</x:v>
      </x:c>
      <x:c r="K15" s="12" t="s">
        <x:v>143</x:v>
      </x:c>
      <x:c r="L15" s="12" t="s">
        <x:v>61</x:v>
      </x:c>
      <x:c r="M15" s="13" t="s">
        <x:v>144</x:v>
      </x:c>
    </x:row>
    <x:row r="16" ht="30">
      <x:c r="A16" s="14" t="s">
        <x:v>145</x:v>
      </x:c>
      <x:c r="B16" s="15" t="s">
        <x:v>146</x:v>
      </x:c>
      <x:c r="C16" s="15" t="s">
        <x:v>147</x:v>
      </x:c>
      <x:c r="D16" s="15" t="s">
        <x:v>148</x:v>
      </x:c>
      <x:c r="E16" s="15" t="s">
        <x:v>149</x:v>
      </x:c>
      <x:c r="F16" s="15" t="s">
        <x:v>150</x:v>
      </x:c>
      <x:c r="G16" s="15" t="s">
        <x:v>151</x:v>
      </x:c>
      <x:c r="H16" s="15" t="s">
        <x:v>152</x:v>
      </x:c>
      <x:c r="I16" s="15" t="s">
        <x:v>153</x:v>
      </x:c>
      <x:c r="J16" s="15" t="s">
        <x:v>154</x:v>
      </x:c>
      <x:c r="K16" s="15" t="s">
        <x:v>60</x:v>
      </x:c>
      <x:c r="L16" s="15" t="s">
        <x:v>155</x:v>
      </x:c>
      <x:c r="M16" s="16" t="s">
        <x:v>156</x:v>
      </x:c>
    </x:row>
  </x:sheetData>
  <x:mergeCells>
    <x:mergeCell ref="A1:M1"/>
    <x:mergeCell ref="A2:M2"/>
  </x:mergeCells>
  <x:conditionalFormatting sqref="E5:E16">
    <x:cfRule type="expression" dxfId="7" priority="1">
      <x:formula>E5="Major"</x:formula>
    </x:cfRule>
  </x:conditionalFormatting>
  <x:conditionalFormatting sqref="J5:J16">
    <x:cfRule type="expression" dxfId="6" priority="2">
      <x:formula>J5="P0"</x:formula>
    </x:cfRule>
  </x:conditionalFormatting>
  <x:conditionalFormatting sqref="L5:L16">
    <x:cfRule type="expression" dxfId="5" priority="3">
      <x:formula>L5="Done"</x:formula>
    </x:cfRule>
  </x:conditionalFormatting>
  <x:dataValidations count="4">
    <x:dataValidation type="list" sqref="E5:E16">
      <x:formula1>"Major,Medium,Minor,No change"</x:formula1>
    </x:dataValidation>
    <x:dataValidation type="list" sqref="F5:F16">
      <x:formula1>"Adopt,Adopt selectively,Adopt with adaptation,Adopt with simplification,Keep,Reject"</x:formula1>
    </x:dataValidation>
    <x:dataValidation type="list" sqref="J5:J16">
      <x:formula1>"P0,P1,P2,P3"</x:formula1>
    </x:dataValidation>
    <x:dataValidation type="list" sqref="L5:L16">
      <x:formula1>"Planned,In Progress,Blocked,Accepted,Done"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50726a7b2448c6"/>
  </x:tableParts>
</x:worksheet>
</file>

<file path=xl/worksheets/sheet3.xml><?xml version="1.0" encoding="utf-8"?>
<x:worksheet xmlns:x="http://schemas.openxmlformats.org/spreadsheetml/2006/main">
  <x:sheetFormatPr baseColWidth="10" defaultColWidth="8.83203125" defaultRowHeight="14"/>
  <x:cols>
    <x:col min="1" max="1" width="15" customWidth="1"/>
    <x:col min="2" max="2" width="22" customWidth="1"/>
    <x:col min="3" max="3" width="38" customWidth="1"/>
    <x:col min="4" max="4" width="42" customWidth="1"/>
    <x:col min="5" max="5" width="12" customWidth="1"/>
    <x:col min="6" max="6" width="20" customWidth="1"/>
    <x:col min="7" max="7" width="38" customWidth="1"/>
    <x:col min="8" max="8" width="30" customWidth="1"/>
    <x:col min="9" max="9" width="38" customWidth="1"/>
    <x:col min="10" max="10" width="10" customWidth="1"/>
    <x:col min="11" max="11" width="20" customWidth="1"/>
    <x:col min="12" max="12" width="14" customWidth="1"/>
    <x:col min="13" max="13" width="20" customWidth="1"/>
  </x:cols>
  <x:sheetData>
    <x:row r="1" ht="34.75" customHeight="1">
      <x:c r="A1" s="27" t="s">
        <x:v>157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</x:row>
    <x:row r="2" ht="34.75" customHeight="1">
      <x:c r="A2" s="26" t="s">
        <x:v>40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</x:row>
    <x:row r="4" ht="16">
      <x:c r="A4" s="1" t="s">
        <x:v>41</x:v>
      </x:c>
      <x:c r="B4" s="1" t="s">
        <x:v>42</x:v>
      </x:c>
      <x:c r="C4" s="1" t="s">
        <x:v>12</x:v>
      </x:c>
      <x:c r="D4" s="1" t="s">
        <x:v>16</x:v>
      </x:c>
      <x:c r="E4" s="1" t="s">
        <x:v>43</x:v>
      </x:c>
      <x:c r="F4" s="1" t="s">
        <x:v>44</x:v>
      </x:c>
      <x:c r="G4" s="1" t="s">
        <x:v>45</x:v>
      </x:c>
      <x:c r="H4" s="1" t="s">
        <x:v>46</x:v>
      </x:c>
      <x:c r="I4" s="1" t="s">
        <x:v>47</x:v>
      </x:c>
      <x:c r="J4" s="1" t="s">
        <x:v>48</x:v>
      </x:c>
      <x:c r="K4" s="1" t="s">
        <x:v>49</x:v>
      </x:c>
      <x:c r="L4" s="1" t="s">
        <x:v>50</x:v>
      </x:c>
      <x:c r="M4" s="1" t="s">
        <x:v>51</x:v>
      </x:c>
    </x:row>
    <x:row r="5" ht="31">
      <x:c r="A5" s="8" t="s">
        <x:v>158</x:v>
      </x:c>
      <x:c r="B5" s="9" t="s">
        <x:v>53</x:v>
      </x:c>
      <x:c r="C5" s="9" t="s">
        <x:v>159</x:v>
      </x:c>
      <x:c r="D5" s="9" t="s">
        <x:v>160</x:v>
      </x:c>
      <x:c r="E5" s="9" t="s">
        <x:v>13</x:v>
      </x:c>
      <x:c r="F5" s="9" t="s">
        <x:v>161</x:v>
      </x:c>
      <x:c r="G5" s="9" t="s">
        <x:v>162</x:v>
      </x:c>
      <x:c r="H5" s="9" t="s">
        <x:v>163</x:v>
      </x:c>
      <x:c r="I5" s="9" t="s">
        <x:v>164</x:v>
      </x:c>
      <x:c r="J5" s="9" t="s">
        <x:v>17</x:v>
      </x:c>
      <x:c r="K5" s="9" t="s">
        <x:v>165</x:v>
      </x:c>
      <x:c r="L5" s="9" t="s">
        <x:v>61</x:v>
      </x:c>
      <x:c r="M5" s="10" t="s">
        <x:v>62</x:v>
      </x:c>
    </x:row>
    <x:row r="6" ht="30">
      <x:c r="A6" s="11" t="s">
        <x:v>166</x:v>
      </x:c>
      <x:c r="B6" s="12" t="s">
        <x:v>81</x:v>
      </x:c>
      <x:c r="C6" s="12" t="s">
        <x:v>167</x:v>
      </x:c>
      <x:c r="D6" s="12" t="s">
        <x:v>168</x:v>
      </x:c>
      <x:c r="E6" s="12" t="s">
        <x:v>75</x:v>
      </x:c>
      <x:c r="F6" s="12" t="s">
        <x:v>169</x:v>
      </x:c>
      <x:c r="G6" s="12" t="s">
        <x:v>170</x:v>
      </x:c>
      <x:c r="H6" s="12" t="s">
        <x:v>86</x:v>
      </x:c>
      <x:c r="I6" s="12" t="s">
        <x:v>171</x:v>
      </x:c>
      <x:c r="J6" s="12" t="s">
        <x:v>88</x:v>
      </x:c>
      <x:c r="K6" s="12" t="s">
        <x:v>165</x:v>
      </x:c>
      <x:c r="L6" s="12" t="s">
        <x:v>61</x:v>
      </x:c>
      <x:c r="M6" s="13" t="s">
        <x:v>62</x:v>
      </x:c>
    </x:row>
    <x:row r="7" ht="31">
      <x:c r="A7" s="11" t="s">
        <x:v>172</x:v>
      </x:c>
      <x:c r="B7" s="12" t="s">
        <x:v>173</x:v>
      </x:c>
      <x:c r="C7" s="12" t="s">
        <x:v>174</x:v>
      </x:c>
      <x:c r="D7" s="12" t="s">
        <x:v>175</x:v>
      </x:c>
      <x:c r="E7" s="12" t="s">
        <x:v>13</x:v>
      </x:c>
      <x:c r="F7" s="12" t="s">
        <x:v>56</x:v>
      </x:c>
      <x:c r="G7" s="12" t="s">
        <x:v>176</x:v>
      </x:c>
      <x:c r="H7" s="12" t="s">
        <x:v>177</x:v>
      </x:c>
      <x:c r="I7" s="12" t="s">
        <x:v>178</x:v>
      </x:c>
      <x:c r="J7" s="12" t="s">
        <x:v>17</x:v>
      </x:c>
      <x:c r="K7" s="12" t="s">
        <x:v>179</x:v>
      </x:c>
      <x:c r="L7" s="12" t="s">
        <x:v>61</x:v>
      </x:c>
      <x:c r="M7" s="13" t="s">
        <x:v>180</x:v>
      </x:c>
    </x:row>
    <x:row r="8" ht="31">
      <x:c r="A8" s="11" t="s">
        <x:v>181</x:v>
      </x:c>
      <x:c r="B8" s="12" t="s">
        <x:v>64</x:v>
      </x:c>
      <x:c r="C8" s="12" t="s">
        <x:v>182</x:v>
      </x:c>
      <x:c r="D8" s="12" t="s">
        <x:v>183</x:v>
      </x:c>
      <x:c r="E8" s="12" t="s">
        <x:v>13</x:v>
      </x:c>
      <x:c r="F8" s="12" t="s">
        <x:v>56</x:v>
      </x:c>
      <x:c r="G8" s="12" t="s">
        <x:v>184</x:v>
      </x:c>
      <x:c r="H8" s="12" t="s">
        <x:v>185</x:v>
      </x:c>
      <x:c r="I8" s="12" t="s">
        <x:v>186</x:v>
      </x:c>
      <x:c r="J8" s="12" t="s">
        <x:v>17</x:v>
      </x:c>
      <x:c r="K8" s="12" t="s">
        <x:v>120</x:v>
      </x:c>
      <x:c r="L8" s="12" t="s">
        <x:v>61</x:v>
      </x:c>
      <x:c r="M8" s="13" t="s">
        <x:v>62</x:v>
      </x:c>
    </x:row>
    <x:row r="9" ht="30">
      <x:c r="A9" s="11" t="s">
        <x:v>187</x:v>
      </x:c>
      <x:c r="B9" s="12" t="s">
        <x:v>188</x:v>
      </x:c>
      <x:c r="C9" s="12" t="s">
        <x:v>189</x:v>
      </x:c>
      <x:c r="D9" s="12" t="s">
        <x:v>190</x:v>
      </x:c>
      <x:c r="E9" s="12" t="s">
        <x:v>75</x:v>
      </x:c>
      <x:c r="F9" s="12" t="s">
        <x:v>56</x:v>
      </x:c>
      <x:c r="G9" s="12" t="s">
        <x:v>191</x:v>
      </x:c>
      <x:c r="H9" s="12" t="s">
        <x:v>192</x:v>
      </x:c>
      <x:c r="I9" s="12" t="s">
        <x:v>193</x:v>
      </x:c>
      <x:c r="J9" s="12" t="s">
        <x:v>88</x:v>
      </x:c>
      <x:c r="K9" s="12" t="s">
        <x:v>79</x:v>
      </x:c>
      <x:c r="L9" s="12" t="s">
        <x:v>61</x:v>
      </x:c>
      <x:c r="M9" s="13" t="s">
        <x:v>62</x:v>
      </x:c>
    </x:row>
    <x:row r="10" ht="30">
      <x:c r="A10" s="11" t="s">
        <x:v>194</x:v>
      </x:c>
      <x:c r="B10" s="12" t="s">
        <x:v>195</x:v>
      </x:c>
      <x:c r="C10" s="12" t="s">
        <x:v>196</x:v>
      </x:c>
      <x:c r="D10" s="12" t="s">
        <x:v>197</x:v>
      </x:c>
      <x:c r="E10" s="12" t="s">
        <x:v>75</x:v>
      </x:c>
      <x:c r="F10" s="12" t="s">
        <x:v>56</x:v>
      </x:c>
      <x:c r="G10" s="12" t="s">
        <x:v>198</x:v>
      </x:c>
      <x:c r="H10" s="12" t="s">
        <x:v>199</x:v>
      </x:c>
      <x:c r="I10" s="12" t="s">
        <x:v>200</x:v>
      </x:c>
      <x:c r="J10" s="12" t="s">
        <x:v>88</x:v>
      </x:c>
      <x:c r="K10" s="12" t="s">
        <x:v>201</x:v>
      </x:c>
      <x:c r="L10" s="12" t="s">
        <x:v>61</x:v>
      </x:c>
      <x:c r="M10" s="13" t="s">
        <x:v>62</x:v>
      </x:c>
    </x:row>
    <x:row r="11" ht="31">
      <x:c r="A11" s="11" t="s">
        <x:v>202</x:v>
      </x:c>
      <x:c r="B11" s="12" t="s">
        <x:v>113</x:v>
      </x:c>
      <x:c r="C11" s="12" t="s">
        <x:v>203</x:v>
      </x:c>
      <x:c r="D11" s="12" t="s">
        <x:v>204</x:v>
      </x:c>
      <x:c r="E11" s="12" t="s">
        <x:v>13</x:v>
      </x:c>
      <x:c r="F11" s="12" t="s">
        <x:v>116</x:v>
      </x:c>
      <x:c r="G11" s="12" t="s">
        <x:v>205</x:v>
      </x:c>
      <x:c r="H11" s="12" t="s">
        <x:v>206</x:v>
      </x:c>
      <x:c r="I11" s="12" t="s">
        <x:v>207</x:v>
      </x:c>
      <x:c r="J11" s="12" t="s">
        <x:v>88</x:v>
      </x:c>
      <x:c r="K11" s="12" t="s">
        <x:v>120</x:v>
      </x:c>
      <x:c r="L11" s="12" t="s">
        <x:v>61</x:v>
      </x:c>
      <x:c r="M11" s="13" t="s">
        <x:v>121</x:v>
      </x:c>
    </x:row>
    <x:row r="12" ht="31">
      <x:c r="A12" s="11" t="s">
        <x:v>208</x:v>
      </x:c>
      <x:c r="B12" s="12" t="s">
        <x:v>123</x:v>
      </x:c>
      <x:c r="C12" s="12" t="s">
        <x:v>209</x:v>
      </x:c>
      <x:c r="D12" s="12" t="s">
        <x:v>210</x:v>
      </x:c>
      <x:c r="E12" s="12" t="s">
        <x:v>13</x:v>
      </x:c>
      <x:c r="F12" s="12" t="s">
        <x:v>56</x:v>
      </x:c>
      <x:c r="G12" s="12" t="s">
        <x:v>211</x:v>
      </x:c>
      <x:c r="H12" s="12" t="s">
        <x:v>212</x:v>
      </x:c>
      <x:c r="I12" s="12" t="s">
        <x:v>213</x:v>
      </x:c>
      <x:c r="J12" s="12" t="s">
        <x:v>17</x:v>
      </x:c>
      <x:c r="K12" s="12" t="s">
        <x:v>120</x:v>
      </x:c>
      <x:c r="L12" s="12" t="s">
        <x:v>61</x:v>
      </x:c>
      <x:c r="M12" s="13" t="s">
        <x:v>121</x:v>
      </x:c>
    </x:row>
    <x:row r="13" ht="30">
      <x:c r="A13" s="11" t="s">
        <x:v>214</x:v>
      </x:c>
      <x:c r="B13" s="12" t="s">
        <x:v>130</x:v>
      </x:c>
      <x:c r="C13" s="12" t="s">
        <x:v>215</x:v>
      </x:c>
      <x:c r="D13" s="12" t="s">
        <x:v>216</x:v>
      </x:c>
      <x:c r="E13" s="12" t="s">
        <x:v>75</x:v>
      </x:c>
      <x:c r="F13" s="12" t="s">
        <x:v>116</x:v>
      </x:c>
      <x:c r="G13" s="12" t="s">
        <x:v>217</x:v>
      </x:c>
      <x:c r="H13" s="12" t="s">
        <x:v>218</x:v>
      </x:c>
      <x:c r="I13" s="12" t="s">
        <x:v>219</x:v>
      </x:c>
      <x:c r="J13" s="12" t="s">
        <x:v>88</x:v>
      </x:c>
      <x:c r="K13" s="12" t="s">
        <x:v>79</x:v>
      </x:c>
      <x:c r="L13" s="12" t="s">
        <x:v>61</x:v>
      </x:c>
      <x:c r="M13" s="13" t="s">
        <x:v>121</x:v>
      </x:c>
    </x:row>
    <x:row r="14" ht="45">
      <x:c r="A14" s="14" t="s">
        <x:v>220</x:v>
      </x:c>
      <x:c r="B14" s="15" t="s">
        <x:v>146</x:v>
      </x:c>
      <x:c r="C14" s="15" t="s">
        <x:v>221</x:v>
      </x:c>
      <x:c r="D14" s="15" t="s">
        <x:v>222</x:v>
      </x:c>
      <x:c r="E14" s="15" t="s">
        <x:v>149</x:v>
      </x:c>
      <x:c r="F14" s="15" t="s">
        <x:v>150</x:v>
      </x:c>
      <x:c r="G14" s="15" t="s">
        <x:v>223</x:v>
      </x:c>
      <x:c r="H14" s="15" t="s">
        <x:v>224</x:v>
      </x:c>
      <x:c r="I14" s="15" t="s">
        <x:v>225</x:v>
      </x:c>
      <x:c r="J14" s="15" t="s">
        <x:v>154</x:v>
      </x:c>
      <x:c r="K14" s="15" t="s">
        <x:v>60</x:v>
      </x:c>
      <x:c r="L14" s="15" t="s">
        <x:v>155</x:v>
      </x:c>
      <x:c r="M14" s="16" t="s">
        <x:v>156</x:v>
      </x:c>
    </x:row>
  </x:sheetData>
  <x:mergeCells>
    <x:mergeCell ref="A1:M1"/>
    <x:mergeCell ref="A2:M2"/>
  </x:mergeCells>
  <x:conditionalFormatting sqref="E5:E14">
    <x:cfRule type="expression" dxfId="4" priority="1">
      <x:formula>E5="Major"</x:formula>
    </x:cfRule>
  </x:conditionalFormatting>
  <x:conditionalFormatting sqref="J5:J14">
    <x:cfRule type="expression" dxfId="3" priority="2">
      <x:formula>J5="P0"</x:formula>
    </x:cfRule>
  </x:conditionalFormatting>
  <x:conditionalFormatting sqref="L5:L14">
    <x:cfRule type="expression" dxfId="2" priority="3">
      <x:formula>L5="Done"</x:formula>
    </x:cfRule>
  </x:conditionalFormatting>
  <x:dataValidations count="4">
    <x:dataValidation type="list" sqref="E5:E14">
      <x:formula1>"Major,Medium,Minor,No change"</x:formula1>
    </x:dataValidation>
    <x:dataValidation type="list" sqref="F5:F14">
      <x:formula1>"Adopt,Adopt selectively,Adopt with adaptation,Adopt with simplification,Keep,Reject"</x:formula1>
    </x:dataValidation>
    <x:dataValidation type="list" sqref="J5:J14">
      <x:formula1>"P0,P1,P2,P3"</x:formula1>
    </x:dataValidation>
    <x:dataValidation type="list" sqref="L5:L14">
      <x:formula1>"Planned,In Progress,Blocked,Accepted,Done"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d49dcba78b4009"/>
  </x:tableParts>
</x:worksheet>
</file>

<file path=xl/worksheets/sheet4.xml><?xml version="1.0" encoding="utf-8"?>
<x:worksheet xmlns:x="http://schemas.openxmlformats.org/spreadsheetml/2006/main">
  <x:sheetFormatPr baseColWidth="10" defaultColWidth="8.83203125" defaultRowHeight="14"/>
  <x:cols>
    <x:col min="1" max="1" width="14" customWidth="1"/>
    <x:col min="2" max="2" width="12" customWidth="1"/>
    <x:col min="3" max="3" width="40" customWidth="1"/>
    <x:col min="4" max="4" width="10" customWidth="1"/>
    <x:col min="5" max="5" width="22" customWidth="1"/>
    <x:col min="6" max="6" width="16" customWidth="1"/>
    <x:col min="7" max="7" width="28" customWidth="1"/>
    <x:col min="8" max="8" width="45" customWidth="1"/>
  </x:cols>
  <x:sheetData>
    <x:row r="1" ht="21">
      <x:c r="A1" s="27" t="s">
        <x:v>226</x:v>
      </x:c>
      <x:c r="B1" s="27"/>
      <x:c r="C1" s="27"/>
      <x:c r="D1" s="27"/>
      <x:c r="E1" s="27"/>
      <x:c r="F1" s="27"/>
      <x:c r="G1" s="27"/>
      <x:c r="H1" s="27"/>
    </x:row>
    <x:row r="2" ht="15">
      <x:c r="A2" s="26" t="s">
        <x:v>227</x:v>
      </x:c>
      <x:c r="B2" s="26"/>
      <x:c r="C2" s="26"/>
      <x:c r="D2" s="26"/>
      <x:c r="E2" s="26"/>
      <x:c r="F2" s="26"/>
      <x:c r="G2" s="26"/>
      <x:c r="H2" s="26"/>
    </x:row>
    <x:row r="4" ht="16">
      <x:c r="A4" s="1" t="s">
        <x:v>228</x:v>
      </x:c>
      <x:c r="B4" s="1" t="s">
        <x:v>229</x:v>
      </x:c>
      <x:c r="C4" s="1" t="s">
        <x:v>230</x:v>
      </x:c>
      <x:c r="D4" s="1" t="s">
        <x:v>48</x:v>
      </x:c>
      <x:c r="E4" s="1" t="s">
        <x:v>49</x:v>
      </x:c>
      <x:c r="F4" s="1" t="s">
        <x:v>50</x:v>
      </x:c>
      <x:c r="G4" s="1" t="s">
        <x:v>231</x:v>
      </x:c>
      <x:c r="H4" s="1" t="s">
        <x:v>232</x:v>
      </x:c>
    </x:row>
    <x:row r="5" ht="31">
      <x:c r="A5" s="8" t="s">
        <x:v>233</x:v>
      </x:c>
      <x:c r="B5" s="9" t="s">
        <x:v>4</x:v>
      </x:c>
      <x:c r="C5" s="9" t="s">
        <x:v>234</x:v>
      </x:c>
      <x:c r="D5" s="9" t="s">
        <x:v>17</x:v>
      </x:c>
      <x:c r="E5" s="9" t="s">
        <x:v>235</x:v>
      </x:c>
      <x:c r="F5" s="9" t="s">
        <x:v>236</x:v>
      </x:c>
      <x:c r="G5" s="9" t="s">
        <x:v>237</x:v>
      </x:c>
      <x:c r="H5" s="10" t="s">
        <x:v>238</x:v>
      </x:c>
    </x:row>
    <x:row r="6" ht="31">
      <x:c r="A6" s="11" t="s">
        <x:v>239</x:v>
      </x:c>
      <x:c r="B6" s="12" t="s">
        <x:v>4</x:v>
      </x:c>
      <x:c r="C6" s="12" t="s">
        <x:v>240</x:v>
      </x:c>
      <x:c r="D6" s="12" t="s">
        <x:v>17</x:v>
      </x:c>
      <x:c r="E6" s="12" t="s">
        <x:v>70</x:v>
      </x:c>
      <x:c r="F6" s="12" t="s">
        <x:v>236</x:v>
      </x:c>
      <x:c r="G6" s="12" t="s">
        <x:v>52</x:v>
      </x:c>
      <x:c r="H6" s="13" t="s">
        <x:v>241</x:v>
      </x:c>
    </x:row>
    <x:row r="7" ht="16">
      <x:c r="A7" s="11" t="s">
        <x:v>242</x:v>
      </x:c>
      <x:c r="B7" s="12" t="s">
        <x:v>4</x:v>
      </x:c>
      <x:c r="C7" s="12" t="s">
        <x:v>243</x:v>
      </x:c>
      <x:c r="D7" s="12" t="s">
        <x:v>17</x:v>
      </x:c>
      <x:c r="E7" s="12" t="s">
        <x:v>70</x:v>
      </x:c>
      <x:c r="F7" s="12" t="s">
        <x:v>236</x:v>
      </x:c>
      <x:c r="G7" s="12" t="s">
        <x:v>244</x:v>
      </x:c>
      <x:c r="H7" s="13" t="s">
        <x:v>245</x:v>
      </x:c>
    </x:row>
    <x:row r="8" ht="16">
      <x:c r="A8" s="11" t="s">
        <x:v>246</x:v>
      </x:c>
      <x:c r="B8" s="12" t="s">
        <x:v>4</x:v>
      </x:c>
      <x:c r="C8" s="12" t="s">
        <x:v>247</x:v>
      </x:c>
      <x:c r="D8" s="12" t="s">
        <x:v>17</x:v>
      </x:c>
      <x:c r="E8" s="12" t="s">
        <x:v>104</x:v>
      </x:c>
      <x:c r="F8" s="12" t="s">
        <x:v>236</x:v>
      </x:c>
      <x:c r="G8" s="12" t="s">
        <x:v>97</x:v>
      </x:c>
      <x:c r="H8" s="13" t="s">
        <x:v>248</x:v>
      </x:c>
    </x:row>
    <x:row r="9" ht="16">
      <x:c r="A9" s="11" t="s">
        <x:v>249</x:v>
      </x:c>
      <x:c r="B9" s="12" t="s">
        <x:v>4</x:v>
      </x:c>
      <x:c r="C9" s="12" t="s">
        <x:v>250</x:v>
      </x:c>
      <x:c r="D9" s="12" t="s">
        <x:v>17</x:v>
      </x:c>
      <x:c r="E9" s="12" t="s">
        <x:v>79</x:v>
      </x:c>
      <x:c r="F9" s="12" t="s">
        <x:v>236</x:v>
      </x:c>
      <x:c r="G9" s="12" t="s">
        <x:v>129</x:v>
      </x:c>
      <x:c r="H9" s="13" t="s">
        <x:v>251</x:v>
      </x:c>
    </x:row>
    <x:row r="10" ht="15">
      <x:c r="A10" s="11" t="s">
        <x:v>252</x:v>
      </x:c>
      <x:c r="B10" s="12" t="s">
        <x:v>4</x:v>
      </x:c>
      <x:c r="C10" s="12" t="s">
        <x:v>253</x:v>
      </x:c>
      <x:c r="D10" s="12" t="s">
        <x:v>88</x:v>
      </x:c>
      <x:c r="E10" s="12" t="s">
        <x:v>120</x:v>
      </x:c>
      <x:c r="F10" s="12" t="s">
        <x:v>236</x:v>
      </x:c>
      <x:c r="G10" s="12" t="s">
        <x:v>254</x:v>
      </x:c>
      <x:c r="H10" s="13" t="s">
        <x:v>255</x:v>
      </x:c>
    </x:row>
    <x:row r="11" ht="31">
      <x:c r="A11" s="11" t="s">
        <x:v>256</x:v>
      </x:c>
      <x:c r="B11" s="12" t="s">
        <x:v>5</x:v>
      </x:c>
      <x:c r="C11" s="12" t="s">
        <x:v>257</x:v>
      </x:c>
      <x:c r="D11" s="12" t="s">
        <x:v>17</x:v>
      </x:c>
      <x:c r="E11" s="12" t="s">
        <x:v>258</x:v>
      </x:c>
      <x:c r="F11" s="12" t="s">
        <x:v>236</x:v>
      </x:c>
      <x:c r="G11" s="12" t="s">
        <x:v>172</x:v>
      </x:c>
      <x:c r="H11" s="13" t="s">
        <x:v>259</x:v>
      </x:c>
    </x:row>
    <x:row r="12" ht="31">
      <x:c r="A12" s="11" t="s">
        <x:v>260</x:v>
      </x:c>
      <x:c r="B12" s="12" t="s">
        <x:v>5</x:v>
      </x:c>
      <x:c r="C12" s="12" t="s">
        <x:v>261</x:v>
      </x:c>
      <x:c r="D12" s="12" t="s">
        <x:v>17</x:v>
      </x:c>
      <x:c r="E12" s="12" t="s">
        <x:v>165</x:v>
      </x:c>
      <x:c r="F12" s="12" t="s">
        <x:v>236</x:v>
      </x:c>
      <x:c r="G12" s="12" t="s">
        <x:v>158</x:v>
      </x:c>
      <x:c r="H12" s="13" t="s">
        <x:v>262</x:v>
      </x:c>
    </x:row>
    <x:row r="13" ht="16">
      <x:c r="A13" s="11" t="s">
        <x:v>263</x:v>
      </x:c>
      <x:c r="B13" s="12" t="s">
        <x:v>5</x:v>
      </x:c>
      <x:c r="C13" s="12" t="s">
        <x:v>264</x:v>
      </x:c>
      <x:c r="D13" s="12" t="s">
        <x:v>17</x:v>
      </x:c>
      <x:c r="E13" s="12" t="s">
        <x:v>120</x:v>
      </x:c>
      <x:c r="F13" s="12" t="s">
        <x:v>236</x:v>
      </x:c>
      <x:c r="G13" s="12" t="s">
        <x:v>208</x:v>
      </x:c>
      <x:c r="H13" s="13" t="s">
        <x:v>265</x:v>
      </x:c>
    </x:row>
    <x:row r="14" ht="15">
      <x:c r="A14" s="11" t="s">
        <x:v>266</x:v>
      </x:c>
      <x:c r="B14" s="12" t="s">
        <x:v>5</x:v>
      </x:c>
      <x:c r="C14" s="12" t="s">
        <x:v>267</x:v>
      </x:c>
      <x:c r="D14" s="12" t="s">
        <x:v>88</x:v>
      </x:c>
      <x:c r="E14" s="12" t="s">
        <x:v>120</x:v>
      </x:c>
      <x:c r="F14" s="12" t="s">
        <x:v>236</x:v>
      </x:c>
      <x:c r="G14" s="12" t="s">
        <x:v>202</x:v>
      </x:c>
      <x:c r="H14" s="13" t="s">
        <x:v>268</x:v>
      </x:c>
    </x:row>
    <x:row r="15" ht="30">
      <x:c r="A15" s="11" t="s">
        <x:v>269</x:v>
      </x:c>
      <x:c r="B15" s="12" t="s">
        <x:v>270</x:v>
      </x:c>
      <x:c r="C15" s="12" t="s">
        <x:v>271</x:v>
      </x:c>
      <x:c r="D15" s="12" t="s">
        <x:v>88</x:v>
      </x:c>
      <x:c r="E15" s="12" t="s">
        <x:v>60</x:v>
      </x:c>
      <x:c r="F15" s="12" t="s">
        <x:v>236</x:v>
      </x:c>
      <x:c r="G15" s="12" t="s">
        <x:v>272</x:v>
      </x:c>
      <x:c r="H15" s="13" t="s">
        <x:v>273</x:v>
      </x:c>
    </x:row>
    <x:row r="16" ht="30">
      <x:c r="A16" s="14" t="s">
        <x:v>274</x:v>
      </x:c>
      <x:c r="B16" s="15" t="s">
        <x:v>270</x:v>
      </x:c>
      <x:c r="C16" s="15" t="s">
        <x:v>275</x:v>
      </x:c>
      <x:c r="D16" s="15" t="s">
        <x:v>88</x:v>
      </x:c>
      <x:c r="E16" s="15" t="s">
        <x:v>276</x:v>
      </x:c>
      <x:c r="F16" s="15" t="s">
        <x:v>236</x:v>
      </x:c>
      <x:c r="G16" s="15" t="s">
        <x:v>277</x:v>
      </x:c>
      <x:c r="H16" s="16" t="s">
        <x:v>278</x:v>
      </x:c>
    </x:row>
  </x:sheetData>
  <x:mergeCells>
    <x:mergeCell ref="A1:H1"/>
    <x:mergeCell ref="A2:H2"/>
  </x:mergeCells>
  <x:conditionalFormatting sqref="D5:D16">
    <x:cfRule type="expression" dxfId="1" priority="1">
      <x:formula>D5="P0"</x:formula>
    </x:cfRule>
  </x:conditionalFormatting>
  <x:conditionalFormatting sqref="F5:F16">
    <x:cfRule type="expression" dxfId="0" priority="2">
      <x:formula>F5="Done"</x:formula>
    </x:cfRule>
  </x:conditionalFormatting>
  <x:dataValidations count="3">
    <x:dataValidation type="list" sqref="B5:B16">
      <x:formula1>"HQC,5S,Both"</x:formula1>
    </x:dataValidation>
    <x:dataValidation type="list" sqref="D5:D16">
      <x:formula1>"P0,P1,P2,P3"</x:formula1>
    </x:dataValidation>
    <x:dataValidation type="list" sqref="F5:F16">
      <x:formula1>"Not Started,In Progress,Blocked,Done,Deferred"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917a96b6fa4adf"/>
  </x:tableParts>
</x:worksheet>
</file>

<file path=xl/worksheets/sheet5.xml><?xml version="1.0" encoding="utf-8"?>
<x:worksheet xmlns:x="http://schemas.openxmlformats.org/spreadsheetml/2006/main">
  <x:sheetFormatPr baseColWidth="10" defaultColWidth="8.83203125" defaultRowHeight="14"/>
  <x:cols>
    <x:col min="1" max="1" width="16" customWidth="1"/>
    <x:col min="2" max="3" width="12" customWidth="1"/>
    <x:col min="4" max="4" width="48" customWidth="1"/>
    <x:col min="5" max="5" width="14" customWidth="1"/>
    <x:col min="6" max="6" width="40" customWidth="1"/>
    <x:col min="7" max="7" width="42" customWidth="1"/>
  </x:cols>
  <x:sheetData>
    <x:row r="1" ht="21">
      <x:c r="A1" s="27" t="s">
        <x:v>279</x:v>
      </x:c>
      <x:c r="B1" s="27"/>
      <x:c r="C1" s="27"/>
      <x:c r="D1" s="27"/>
      <x:c r="E1" s="27"/>
      <x:c r="F1" s="27"/>
      <x:c r="G1" s="27"/>
    </x:row>
    <x:row r="4" ht="16">
      <x:c r="A4" s="1" t="s">
        <x:v>280</x:v>
      </x:c>
      <x:c r="B4" s="1" t="s">
        <x:v>281</x:v>
      </x:c>
      <x:c r="C4" s="1" t="s">
        <x:v>282</x:v>
      </x:c>
      <x:c r="D4" s="1" t="s">
        <x:v>44</x:v>
      </x:c>
      <x:c r="E4" s="1" t="s">
        <x:v>50</x:v>
      </x:c>
      <x:c r="F4" s="1" t="s">
        <x:v>283</x:v>
      </x:c>
      <x:c r="G4" s="1" t="s">
        <x:v>284</x:v>
      </x:c>
    </x:row>
    <x:row r="5" ht="30">
      <x:c r="A5" s="8" t="s">
        <x:v>285</x:v>
      </x:c>
      <x:c r="B5" s="17" t="s">
        <x:v>286</x:v>
      </x:c>
      <x:c r="C5" s="9" t="s">
        <x:v>270</x:v>
      </x:c>
      <x:c r="D5" s="9" t="s">
        <x:v>287</x:v>
      </x:c>
      <x:c r="E5" s="9" t="s">
        <x:v>155</x:v>
      </x:c>
      <x:c r="F5" s="9" t="s">
        <x:v>288</x:v>
      </x:c>
      <x:c r="G5" s="10" t="s">
        <x:v>289</x:v>
      </x:c>
    </x:row>
    <x:row r="6" ht="30">
      <x:c r="A6" s="11" t="s">
        <x:v>290</x:v>
      </x:c>
      <x:c r="B6" s="18" t="s">
        <x:v>286</x:v>
      </x:c>
      <x:c r="C6" s="12" t="s">
        <x:v>4</x:v>
      </x:c>
      <x:c r="D6" s="12" t="s">
        <x:v>291</x:v>
      </x:c>
      <x:c r="E6" s="12" t="s">
        <x:v>155</x:v>
      </x:c>
      <x:c r="F6" s="12" t="s">
        <x:v>292</x:v>
      </x:c>
      <x:c r="G6" s="13" t="s">
        <x:v>293</x:v>
      </x:c>
    </x:row>
    <x:row r="7" ht="30">
      <x:c r="A7" s="11" t="s">
        <x:v>294</x:v>
      </x:c>
      <x:c r="B7" s="18" t="s">
        <x:v>286</x:v>
      </x:c>
      <x:c r="C7" s="12" t="s">
        <x:v>5</x:v>
      </x:c>
      <x:c r="D7" s="12" t="s">
        <x:v>295</x:v>
      </x:c>
      <x:c r="E7" s="12" t="s">
        <x:v>155</x:v>
      </x:c>
      <x:c r="F7" s="12" t="s">
        <x:v>296</x:v>
      </x:c>
      <x:c r="G7" s="13" t="s">
        <x:v>297</x:v>
      </x:c>
    </x:row>
    <x:row r="8" ht="30">
      <x:c r="A8" s="11" t="s">
        <x:v>298</x:v>
      </x:c>
      <x:c r="B8" s="18" t="s">
        <x:v>286</x:v>
      </x:c>
      <x:c r="C8" s="12" t="s">
        <x:v>4</x:v>
      </x:c>
      <x:c r="D8" s="12" t="s">
        <x:v>299</x:v>
      </x:c>
      <x:c r="E8" s="12" t="s">
        <x:v>155</x:v>
      </x:c>
      <x:c r="F8" s="12" t="s">
        <x:v>300</x:v>
      </x:c>
      <x:c r="G8" s="13" t="s">
        <x:v>301</x:v>
      </x:c>
    </x:row>
    <x:row r="9" ht="30">
      <x:c r="A9" s="11" t="s">
        <x:v>302</x:v>
      </x:c>
      <x:c r="B9" s="18" t="s">
        <x:v>286</x:v>
      </x:c>
      <x:c r="C9" s="12" t="s">
        <x:v>5</x:v>
      </x:c>
      <x:c r="D9" s="12" t="s">
        <x:v>303</x:v>
      </x:c>
      <x:c r="E9" s="12" t="s">
        <x:v>155</x:v>
      </x:c>
      <x:c r="F9" s="12" t="s">
        <x:v>304</x:v>
      </x:c>
      <x:c r="G9" s="13" t="s">
        <x:v>305</x:v>
      </x:c>
    </x:row>
    <x:row r="10" ht="30">
      <x:c r="A10" s="14" t="s">
        <x:v>306</x:v>
      </x:c>
      <x:c r="B10" s="19" t="s">
        <x:v>286</x:v>
      </x:c>
      <x:c r="C10" s="15" t="s">
        <x:v>270</x:v>
      </x:c>
      <x:c r="D10" s="15" t="s">
        <x:v>307</x:v>
      </x:c>
      <x:c r="E10" s="15" t="s">
        <x:v>155</x:v>
      </x:c>
      <x:c r="F10" s="15" t="s">
        <x:v>308</x:v>
      </x:c>
      <x:c r="G10" s="16" t="s">
        <x:v>309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8d098d2220b846f8"/>
  </x:tableParts>
</x:worksheet>
</file>

<file path=xl/worksheets/sheet6.xml><?xml version="1.0" encoding="utf-8"?>
<x:worksheet xmlns:x="http://schemas.openxmlformats.org/spreadsheetml/2006/main">
  <x:sheetFormatPr baseColWidth="10" defaultColWidth="8.83203125" defaultRowHeight="14"/>
  <x:cols>
    <x:col min="1" max="1" width="28" customWidth="1"/>
    <x:col min="2" max="2" width="16" customWidth="1"/>
    <x:col min="3" max="3" width="12" customWidth="1"/>
    <x:col min="4" max="4" width="14" customWidth="1"/>
    <x:col min="5" max="5" width="60" customWidth="1"/>
    <x:col min="6" max="6" width="26" customWidth="1"/>
  </x:cols>
  <x:sheetData>
    <x:row r="1" ht="21">
      <x:c r="A1" s="27" t="s">
        <x:v>310</x:v>
      </x:c>
      <x:c r="B1" s="27"/>
      <x:c r="C1" s="27"/>
      <x:c r="D1" s="27"/>
      <x:c r="E1" s="27"/>
      <x:c r="F1" s="27"/>
    </x:row>
    <x:row r="4" ht="16">
      <x:c r="A4" s="1" t="s">
        <x:v>229</x:v>
      </x:c>
      <x:c r="B4" s="1" t="s">
        <x:v>311</x:v>
      </x:c>
      <x:c r="C4" s="1" t="s">
        <x:v>281</x:v>
      </x:c>
      <x:c r="D4" s="1" t="s">
        <x:v>312</x:v>
      </x:c>
      <x:c r="E4" s="1" t="s">
        <x:v>313</x:v>
      </x:c>
      <x:c r="F4" s="1" t="s">
        <x:v>50</x:v>
      </x:c>
    </x:row>
    <x:row r="5" ht="30">
      <x:c r="A5" s="8" t="s">
        <x:v>28</x:v>
      </x:c>
      <x:c r="B5" s="9" t="s">
        <x:v>12</x:v>
      </x:c>
      <x:c r="C5" s="17" t="s">
        <x:v>314</x:v>
      </x:c>
      <x:c r="D5" s="9" t="s">
        <x:v>315</x:v>
      </x:c>
      <x:c r="E5" s="9" t="s">
        <x:v>316</x:v>
      </x:c>
      <x:c r="F5" s="10" t="s">
        <x:v>317</x:v>
      </x:c>
    </x:row>
    <x:row r="6" ht="30">
      <x:c r="A6" s="11" t="s">
        <x:v>28</x:v>
      </x:c>
      <x:c r="B6" s="12" t="s">
        <x:v>16</x:v>
      </x:c>
      <x:c r="C6" s="18" t="s">
        <x:v>286</x:v>
      </x:c>
      <x:c r="D6" s="12" t="s">
        <x:v>318</x:v>
      </x:c>
      <x:c r="E6" s="12" t="s">
        <x:v>319</x:v>
      </x:c>
      <x:c r="F6" s="13" t="s">
        <x:v>320</x:v>
      </x:c>
    </x:row>
    <x:row r="7" ht="30">
      <x:c r="A7" s="11" t="s">
        <x:v>30</x:v>
      </x:c>
      <x:c r="B7" s="12" t="s">
        <x:v>12</x:v>
      </x:c>
      <x:c r="C7" s="18" t="s">
        <x:v>314</x:v>
      </x:c>
      <x:c r="D7" s="12" t="s">
        <x:v>315</x:v>
      </x:c>
      <x:c r="E7" s="12" t="s">
        <x:v>321</x:v>
      </x:c>
      <x:c r="F7" s="13" t="s">
        <x:v>317</x:v>
      </x:c>
    </x:row>
    <x:row r="8" ht="30">
      <x:c r="A8" s="14" t="s">
        <x:v>30</x:v>
      </x:c>
      <x:c r="B8" s="15" t="s">
        <x:v>16</x:v>
      </x:c>
      <x:c r="C8" s="19" t="s">
        <x:v>286</x:v>
      </x:c>
      <x:c r="D8" s="15" t="s">
        <x:v>318</x:v>
      </x:c>
      <x:c r="E8" s="15" t="s">
        <x:v>322</x:v>
      </x:c>
      <x:c r="F8" s="16" t="s">
        <x:v>320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ad333ab6bc74417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8" customHeight="1">
      <x:c r="A1" s="41" t="str">
        <x:v>HQC AIMS PLATFORM — ARCHITECTURE ver 05082026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</x:row>
    <x:row r="2" ht="28" customHeight="1">
      <x:c r="A2" s="41"/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</x:row>
    <x:row r="3" ht="22" customHeight="1"/>
    <x:row r="4" ht="22" customHeight="1">
      <x:c r="B4" s="66" t="str">
        <x:v>USER &amp; ENTERPRISE CHANNELS
Web App • Admin Portal • API Clients • Auditor Workspace</x:v>
      </x:c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8"/>
    </x:row>
    <x:row r="5" ht="22" customHeight="1">
      <x:c r="B5" s="69"/>
      <x:c r="C5" s="70"/>
      <x:c r="D5" s="70"/>
      <x:c r="E5" s="70"/>
      <x:c r="F5" s="70"/>
      <x:c r="G5" s="70"/>
      <x:c r="H5" s="70"/>
      <x:c r="I5" s="70"/>
      <x:c r="J5" s="70"/>
      <x:c r="K5" s="70"/>
      <x:c r="L5" s="70"/>
      <x:c r="M5" s="71"/>
    </x:row>
    <x:row r="6" ht="22" customHeight="1">
      <x:c r="F6" s="100" t="str">
        <x:v>↓</x:v>
      </x:c>
      <x:c r="G6" s="100"/>
      <x:c r="H6" s="100"/>
      <x:c r="I6" s="100"/>
    </x:row>
    <x:row r="7" ht="22" customHeight="1">
      <x:c r="B7" s="124" t="str">
        <x:v>API GATEWAY &amp; AGENT GATEWAY
Authentication • Tenant Context • Session Routing • Rate Limit • Agent Identity</x:v>
      </x:c>
      <x:c r="C7" s="125"/>
      <x:c r="D7" s="125"/>
      <x:c r="E7" s="125"/>
      <x:c r="F7" s="125"/>
      <x:c r="G7" s="125"/>
      <x:c r="H7" s="125"/>
      <x:c r="I7" s="125"/>
      <x:c r="J7" s="125"/>
      <x:c r="K7" s="125"/>
      <x:c r="L7" s="125"/>
      <x:c r="M7" s="126"/>
    </x:row>
    <x:row r="8" ht="22" customHeight="1">
      <x:c r="B8" s="127"/>
      <x:c r="C8" s="128"/>
      <x:c r="D8" s="128"/>
      <x:c r="E8" s="128"/>
      <x:c r="F8" s="128"/>
      <x:c r="G8" s="128"/>
      <x:c r="H8" s="128"/>
      <x:c r="I8" s="128"/>
      <x:c r="J8" s="128"/>
      <x:c r="K8" s="128"/>
      <x:c r="L8" s="128"/>
      <x:c r="M8" s="129"/>
    </x:row>
    <x:row r="9" ht="22" customHeight="1">
      <x:c r="F9" s="100" t="str">
        <x:v>↓</x:v>
      </x:c>
      <x:c r="G9" s="100"/>
      <x:c r="H9" s="100"/>
      <x:c r="I9" s="100"/>
    </x:row>
    <x:row r="10" ht="22" customHeight="1">
      <x:c r="A10" s="184" t="str">
        <x:v>AGENT ORCHESTRATOR
Task routing • Multi-agent coordination • Human handoff</x:v>
      </x:c>
      <x:c r="B10" s="185"/>
      <x:c r="C10" s="185"/>
      <x:c r="D10" s="186"/>
      <x:c r="F10" s="184" t="str">
        <x:v>PERSISTENT WORKSPACE
Session • Checkpoint • Task state • Resume</x:v>
      </x:c>
      <x:c r="G10" s="185"/>
      <x:c r="H10" s="185"/>
      <x:c r="I10" s="186"/>
      <x:c r="K10" s="184" t="str">
        <x:v>WORKFLOW ENGINE
Validation gate • Retry • Approval • Audit log</x:v>
      </x:c>
      <x:c r="L10" s="185"/>
      <x:c r="M10" s="185"/>
      <x:c r="N10" s="186"/>
    </x:row>
    <x:row r="11" ht="22" customHeight="1">
      <x:c r="A11" s="187"/>
      <x:c r="B11" s="188"/>
      <x:c r="C11" s="188"/>
      <x:c r="D11" s="189"/>
      <x:c r="F11" s="187"/>
      <x:c r="G11" s="188"/>
      <x:c r="H11" s="188"/>
      <x:c r="I11" s="189"/>
      <x:c r="K11" s="187"/>
      <x:c r="L11" s="188"/>
      <x:c r="M11" s="188"/>
      <x:c r="N11" s="189"/>
    </x:row>
    <x:row r="12" ht="22" customHeight="1">
      <x:c r="A12" s="190"/>
      <x:c r="B12" s="191"/>
      <x:c r="C12" s="191"/>
      <x:c r="D12" s="192"/>
      <x:c r="F12" s="190"/>
      <x:c r="G12" s="191"/>
      <x:c r="H12" s="191"/>
      <x:c r="I12" s="192"/>
      <x:c r="K12" s="190"/>
      <x:c r="L12" s="191"/>
      <x:c r="M12" s="191"/>
      <x:c r="N12" s="192"/>
    </x:row>
    <x:row r="13" ht="22" customHeight="1">
      <x:c r="F13" s="100" t="str">
        <x:v>↓</x:v>
      </x:c>
      <x:c r="G13" s="100"/>
      <x:c r="H13" s="100"/>
      <x:c r="I13" s="100"/>
    </x:row>
    <x:row r="14" ht="22" customHeight="1">
      <x:c r="A14" s="184" t="str">
        <x:v>Compliance Agent</x:v>
      </x:c>
      <x:c r="B14" s="185"/>
      <x:c r="C14" s="186"/>
      <x:c r="D14" s="184" t="str">
        <x:v>Risk &amp; Impact Agent</x:v>
      </x:c>
      <x:c r="E14" s="185"/>
      <x:c r="F14" s="186"/>
      <x:c r="G14" s="184" t="str">
        <x:v>AI Auditor Assistant</x:v>
      </x:c>
      <x:c r="H14" s="185"/>
      <x:c r="I14" s="186"/>
      <x:c r="J14" s="184" t="str">
        <x:v>Evidence Collector</x:v>
      </x:c>
      <x:c r="K14" s="185"/>
      <x:c r="L14" s="186"/>
      <x:c r="M14" s="184" t="str">
        <x:v>Lifecycle / Project Agent</x:v>
      </x:c>
      <x:c r="N14" s="186"/>
    </x:row>
    <x:row r="15" ht="22" customHeight="1">
      <x:c r="A15" s="187"/>
      <x:c r="B15" s="188"/>
      <x:c r="C15" s="189"/>
      <x:c r="D15" s="187"/>
      <x:c r="E15" s="188"/>
      <x:c r="F15" s="189"/>
      <x:c r="G15" s="187"/>
      <x:c r="H15" s="188"/>
      <x:c r="I15" s="189"/>
      <x:c r="J15" s="187"/>
      <x:c r="K15" s="188"/>
      <x:c r="L15" s="189"/>
      <x:c r="M15" s="187"/>
      <x:c r="N15" s="189"/>
    </x:row>
    <x:row r="16" ht="22" customHeight="1">
      <x:c r="A16" s="190"/>
      <x:c r="B16" s="191"/>
      <x:c r="C16" s="192"/>
      <x:c r="D16" s="190"/>
      <x:c r="E16" s="191"/>
      <x:c r="F16" s="192"/>
      <x:c r="G16" s="190"/>
      <x:c r="H16" s="191"/>
      <x:c r="I16" s="192"/>
      <x:c r="J16" s="190"/>
      <x:c r="K16" s="191"/>
      <x:c r="L16" s="192"/>
      <x:c r="M16" s="190"/>
      <x:c r="N16" s="192"/>
    </x:row>
    <x:row r="17" ht="22" customHeight="1">
      <x:c r="F17" s="100" t="str">
        <x:v>↓</x:v>
      </x:c>
      <x:c r="G17" s="100"/>
      <x:c r="H17" s="100"/>
      <x:c r="I17" s="100"/>
    </x:row>
    <x:row r="18" ht="22" customHeight="1">
      <x:c r="A18" s="66" t="str">
        <x:v>TASK-AWARE KNOWLEDGE LAYER
Compliance View • Risk View • Audit View • Management View • Project View</x:v>
      </x:c>
      <x:c r="B18" s="67"/>
      <x:c r="C18" s="67"/>
      <x:c r="D18" s="67"/>
      <x:c r="E18" s="67"/>
      <x:c r="F18" s="67"/>
      <x:c r="G18" s="67"/>
      <x:c r="H18" s="67"/>
      <x:c r="I18" s="67"/>
      <x:c r="J18" s="67"/>
      <x:c r="K18" s="67"/>
      <x:c r="L18" s="67"/>
      <x:c r="M18" s="67"/>
      <x:c r="N18" s="68"/>
    </x:row>
    <x:row r="19" ht="22" customHeight="1">
      <x:c r="A19" s="69"/>
      <x:c r="B19" s="70"/>
      <x:c r="C19" s="70"/>
      <x:c r="D19" s="70"/>
      <x:c r="E19" s="70"/>
      <x:c r="F19" s="70"/>
      <x:c r="G19" s="70"/>
      <x:c r="H19" s="70"/>
      <x:c r="I19" s="70"/>
      <x:c r="J19" s="70"/>
      <x:c r="K19" s="70"/>
      <x:c r="L19" s="70"/>
      <x:c r="M19" s="70"/>
      <x:c r="N19" s="71"/>
    </x:row>
    <x:row r="20" ht="22" customHeight="1">
      <x:c r="A20" s="184" t="str">
        <x:v>QUERY COMPLEXITY ROUTER
Summary • Standard • Detailed • Full Evidence</x:v>
      </x:c>
      <x:c r="B20" s="185"/>
      <x:c r="C20" s="185"/>
      <x:c r="D20" s="185"/>
      <x:c r="E20" s="186"/>
      <x:c r="F20" s="184" t="str">
        <x:v>HYBRID RETRIEVAL
Compressed knowledge for synthesis
RAG for source evidence &amp; citation</x:v>
      </x:c>
      <x:c r="G20" s="185"/>
      <x:c r="H20" s="185"/>
      <x:c r="I20" s="185"/>
      <x:c r="J20" s="186"/>
      <x:c r="K20" s="184" t="str">
        <x:v>VALIDATION &amp; EVALUATION
Golden set • Quality threshold • Hallucination checks</x:v>
      </x:c>
      <x:c r="L20" s="185"/>
      <x:c r="M20" s="185"/>
      <x:c r="N20" s="186"/>
    </x:row>
    <x:row r="21" ht="22" customHeight="1">
      <x:c r="A21" s="187"/>
      <x:c r="B21" s="188"/>
      <x:c r="C21" s="188"/>
      <x:c r="D21" s="188"/>
      <x:c r="E21" s="189"/>
      <x:c r="F21" s="187"/>
      <x:c r="G21" s="188"/>
      <x:c r="H21" s="188"/>
      <x:c r="I21" s="188"/>
      <x:c r="J21" s="189"/>
      <x:c r="K21" s="187"/>
      <x:c r="L21" s="188"/>
      <x:c r="M21" s="188"/>
      <x:c r="N21" s="189"/>
    </x:row>
    <x:row r="22" ht="22" customHeight="1">
      <x:c r="A22" s="190"/>
      <x:c r="B22" s="191"/>
      <x:c r="C22" s="191"/>
      <x:c r="D22" s="191"/>
      <x:c r="E22" s="192"/>
      <x:c r="F22" s="190"/>
      <x:c r="G22" s="191"/>
      <x:c r="H22" s="191"/>
      <x:c r="I22" s="191"/>
      <x:c r="J22" s="192"/>
      <x:c r="K22" s="190"/>
      <x:c r="L22" s="191"/>
      <x:c r="M22" s="191"/>
      <x:c r="N22" s="192"/>
    </x:row>
    <x:row r="23" ht="22" customHeight="1">
      <x:c r="F23" s="100" t="str">
        <x:v>↓</x:v>
      </x:c>
      <x:c r="G23" s="100"/>
      <x:c r="H23" s="100"/>
      <x:c r="I23" s="100"/>
    </x:row>
    <x:row r="24" ht="22" customHeight="1">
      <x:c r="A24" s="258" t="str">
        <x:v>OFFLINE INGESTION / COMPRESSION PIPELINE
Parse • Classify • Chunk • Compress • Validate • Publish • Reprocess stale artifacts</x:v>
      </x:c>
      <x:c r="B24" s="259"/>
      <x:c r="C24" s="259"/>
      <x:c r="D24" s="259"/>
      <x:c r="E24" s="259"/>
      <x:c r="F24" s="259"/>
      <x:c r="G24" s="260"/>
      <x:c r="H24" s="258" t="str">
        <x:v>ONLINE QUERY PIPELINE
Analyze query • Select task view • Retrieve evidence • Reason • Cite • Log</x:v>
      </x:c>
      <x:c r="I24" s="259"/>
      <x:c r="J24" s="259"/>
      <x:c r="K24" s="259"/>
      <x:c r="L24" s="259"/>
      <x:c r="M24" s="259"/>
      <x:c r="N24" s="260"/>
    </x:row>
    <x:row r="25" ht="22" customHeight="1">
      <x:c r="A25" s="261"/>
      <x:c r="B25" s="262"/>
      <x:c r="C25" s="262"/>
      <x:c r="D25" s="262"/>
      <x:c r="E25" s="262"/>
      <x:c r="F25" s="262"/>
      <x:c r="G25" s="263"/>
      <x:c r="H25" s="261"/>
      <x:c r="I25" s="262"/>
      <x:c r="J25" s="262"/>
      <x:c r="K25" s="262"/>
      <x:c r="L25" s="262"/>
      <x:c r="M25" s="262"/>
      <x:c r="N25" s="263"/>
    </x:row>
    <x:row r="26" ht="22" customHeight="1">
      <x:c r="A26" s="264"/>
      <x:c r="B26" s="265"/>
      <x:c r="C26" s="265"/>
      <x:c r="D26" s="265"/>
      <x:c r="E26" s="265"/>
      <x:c r="F26" s="265"/>
      <x:c r="G26" s="266"/>
      <x:c r="H26" s="264"/>
      <x:c r="I26" s="265"/>
      <x:c r="J26" s="265"/>
      <x:c r="K26" s="265"/>
      <x:c r="L26" s="265"/>
      <x:c r="M26" s="265"/>
      <x:c r="N26" s="266"/>
    </x:row>
    <x:row r="27" ht="22" customHeight="1">
      <x:c r="F27" s="100" t="str">
        <x:v>↓</x:v>
      </x:c>
      <x:c r="G27" s="100"/>
      <x:c r="H27" s="100"/>
      <x:c r="I27" s="100"/>
    </x:row>
    <x:row r="28" ht="22" customHeight="1">
      <x:c r="A28" s="124" t="str">
        <x:v>PostgreSQL + pgvector
Metadata • embeddings • lineage</x:v>
      </x:c>
      <x:c r="B28" s="125"/>
      <x:c r="C28" s="125"/>
      <x:c r="D28" s="126"/>
      <x:c r="E28" s="124" t="str">
        <x:v>S3-compatible Object Storage
Source documents • evidence</x:v>
      </x:c>
      <x:c r="F28" s="125"/>
      <x:c r="G28" s="125"/>
      <x:c r="H28" s="126"/>
      <x:c r="I28" s="124" t="str">
        <x:v>Redis + BullMQ
Queues • cache • retries</x:v>
      </x:c>
      <x:c r="J28" s="125"/>
      <x:c r="K28" s="126"/>
      <x:c r="L28" s="124" t="str">
        <x:v>OpenTelemetry
Metrics • traces • cost • quality</x:v>
      </x:c>
      <x:c r="M28" s="125"/>
      <x:c r="N28" s="126"/>
    </x:row>
    <x:row r="29" ht="22" customHeight="1">
      <x:c r="A29" s="312"/>
      <x:c r="B29" s="313"/>
      <x:c r="C29" s="313"/>
      <x:c r="D29" s="314"/>
      <x:c r="E29" s="312"/>
      <x:c r="F29" s="313"/>
      <x:c r="G29" s="313"/>
      <x:c r="H29" s="314"/>
      <x:c r="I29" s="312"/>
      <x:c r="J29" s="313"/>
      <x:c r="K29" s="314"/>
      <x:c r="L29" s="312"/>
      <x:c r="M29" s="313"/>
      <x:c r="N29" s="314"/>
    </x:row>
    <x:row r="30" ht="22" customHeight="1">
      <x:c r="A30" s="127"/>
      <x:c r="B30" s="128"/>
      <x:c r="C30" s="128"/>
      <x:c r="D30" s="129"/>
      <x:c r="E30" s="127"/>
      <x:c r="F30" s="128"/>
      <x:c r="G30" s="128"/>
      <x:c r="H30" s="129"/>
      <x:c r="I30" s="127"/>
      <x:c r="J30" s="128"/>
      <x:c r="K30" s="129"/>
      <x:c r="L30" s="127"/>
      <x:c r="M30" s="128"/>
      <x:c r="N30" s="129"/>
    </x:row>
    <x:row r="31" ht="22" customHeight="1"/>
    <x:row r="32" ht="22" customHeight="1">
      <x:c r="A32" s="330" t="str">
        <x:v>Nguyên tắc ver 05082026: Không thay thế stack đã chốt. Bản nén không được dùng độc lập để kết luận audit/compliance. Mọi kết luận quan trọng phải truy ngược source document, version, page/section, prompt/model và thời điểm xử lý.</x:v>
      </x:c>
      <x:c r="B32" s="330"/>
      <x:c r="C32" s="330"/>
      <x:c r="D32" s="330"/>
      <x:c r="E32" s="330"/>
      <x:c r="F32" s="330"/>
      <x:c r="G32" s="330"/>
      <x:c r="H32" s="330"/>
      <x:c r="I32" s="330"/>
      <x:c r="J32" s="330"/>
      <x:c r="K32" s="330"/>
      <x:c r="L32" s="330"/>
      <x:c r="M32" s="330"/>
      <x:c r="N32" s="330"/>
    </x:row>
    <x:row r="33" ht="22" customHeight="1">
      <x:c r="A33" s="330"/>
      <x:c r="B33" s="330"/>
      <x:c r="C33" s="330"/>
      <x:c r="D33" s="330"/>
      <x:c r="E33" s="330"/>
      <x:c r="F33" s="330"/>
      <x:c r="G33" s="330"/>
      <x:c r="H33" s="330"/>
      <x:c r="I33" s="330"/>
      <x:c r="J33" s="330"/>
      <x:c r="K33" s="330"/>
      <x:c r="L33" s="330"/>
      <x:c r="M33" s="330"/>
      <x:c r="N33" s="330"/>
    </x:row>
    <x:row r="34" ht="22" customHeight="1">
      <x:c r="A34" s="330"/>
      <x:c r="B34" s="330"/>
      <x:c r="C34" s="330"/>
      <x:c r="D34" s="330"/>
      <x:c r="E34" s="330"/>
      <x:c r="F34" s="330"/>
      <x:c r="G34" s="330"/>
      <x:c r="H34" s="330"/>
      <x:c r="I34" s="330"/>
      <x:c r="J34" s="330"/>
      <x:c r="K34" s="330"/>
      <x:c r="L34" s="330"/>
      <x:c r="M34" s="330"/>
      <x:c r="N34" s="330"/>
    </x:row>
  </x:sheetData>
  <x:mergeCells>
    <x:mergeCell ref="A1:N2"/>
    <x:mergeCell ref="B4:M5"/>
    <x:mergeCell ref="F6:I6"/>
    <x:mergeCell ref="B7:M8"/>
    <x:mergeCell ref="F9:I9"/>
    <x:mergeCell ref="A10:D12"/>
    <x:mergeCell ref="F10:I12"/>
    <x:mergeCell ref="K10:N12"/>
    <x:mergeCell ref="F13:I13"/>
    <x:mergeCell ref="A14:C16"/>
    <x:mergeCell ref="D14:F16"/>
    <x:mergeCell ref="G14:I16"/>
    <x:mergeCell ref="J14:L16"/>
    <x:mergeCell ref="M14:N16"/>
    <x:mergeCell ref="F17:I17"/>
    <x:mergeCell ref="A18:N19"/>
    <x:mergeCell ref="A20:E22"/>
    <x:mergeCell ref="F20:J22"/>
    <x:mergeCell ref="K20:N22"/>
    <x:mergeCell ref="F23:I23"/>
    <x:mergeCell ref="A24:G26"/>
    <x:mergeCell ref="H24:N26"/>
    <x:mergeCell ref="F27:I27"/>
    <x:mergeCell ref="A28:D30"/>
    <x:mergeCell ref="E28:H30"/>
    <x:mergeCell ref="I28:K30"/>
    <x:mergeCell ref="L28:N30"/>
    <x:mergeCell ref="A32:N3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8" customHeight="1">
      <x:c r="A1" s="41" t="str">
        <x:v>5SOFFICE AI AGENT / WEBAPP — ARCHITECTURE ver 05082026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</x:row>
    <x:row r="2" ht="28" customHeight="1">
      <x:c r="A2" s="41"/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</x:row>
    <x:row r="3" ht="22" customHeight="1"/>
    <x:row r="4" ht="22" customHeight="1">
      <x:c r="B4" s="66" t="str">
        <x:v>CUSTOMER CHANNELS
5SOffice Website • Chat Widget • Zalo/Facebook • Sales/Admin Cockpit</x:v>
      </x:c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8"/>
    </x:row>
    <x:row r="5" ht="22" customHeight="1">
      <x:c r="B5" s="69"/>
      <x:c r="C5" s="70"/>
      <x:c r="D5" s="70"/>
      <x:c r="E5" s="70"/>
      <x:c r="F5" s="70"/>
      <x:c r="G5" s="70"/>
      <x:c r="H5" s="70"/>
      <x:c r="I5" s="70"/>
      <x:c r="J5" s="70"/>
      <x:c r="K5" s="70"/>
      <x:c r="L5" s="70"/>
      <x:c r="M5" s="71"/>
    </x:row>
    <x:row r="6" ht="22" customHeight="1">
      <x:c r="F6" s="100" t="str">
        <x:v>↓</x:v>
      </x:c>
      <x:c r="G6" s="100"/>
      <x:c r="H6" s="100"/>
      <x:c r="I6" s="100"/>
    </x:row>
    <x:row r="7" ht="22" customHeight="1">
      <x:c r="B7" s="124" t="str">
        <x:v>AGENT GATEWAY
Lead/session identification • Routing • Consent • Guardrails • Human handoff</x:v>
      </x:c>
      <x:c r="C7" s="125"/>
      <x:c r="D7" s="125"/>
      <x:c r="E7" s="125"/>
      <x:c r="F7" s="125"/>
      <x:c r="G7" s="125"/>
      <x:c r="H7" s="125"/>
      <x:c r="I7" s="125"/>
      <x:c r="J7" s="125"/>
      <x:c r="K7" s="125"/>
      <x:c r="L7" s="125"/>
      <x:c r="M7" s="126"/>
    </x:row>
    <x:row r="8" ht="22" customHeight="1">
      <x:c r="B8" s="127"/>
      <x:c r="C8" s="128"/>
      <x:c r="D8" s="128"/>
      <x:c r="E8" s="128"/>
      <x:c r="F8" s="128"/>
      <x:c r="G8" s="128"/>
      <x:c r="H8" s="128"/>
      <x:c r="I8" s="128"/>
      <x:c r="J8" s="128"/>
      <x:c r="K8" s="128"/>
      <x:c r="L8" s="128"/>
      <x:c r="M8" s="129"/>
    </x:row>
    <x:row r="9" ht="22" customHeight="1">
      <x:c r="F9" s="100" t="str">
        <x:v>↓</x:v>
      </x:c>
      <x:c r="G9" s="100"/>
      <x:c r="H9" s="100"/>
      <x:c r="I9" s="100"/>
    </x:row>
    <x:row r="10" ht="22" customHeight="1">
      <x:c r="A10" s="184" t="str">
        <x:v>SALES AGENT
Needs discovery • Location/service recommendation</x:v>
      </x:c>
      <x:c r="B10" s="185"/>
      <x:c r="C10" s="185"/>
      <x:c r="D10" s="186"/>
      <x:c r="F10" s="184" t="str">
        <x:v>BOOKING AGENT
Viewing schedule • Meeting room • Confirmation</x:v>
      </x:c>
      <x:c r="G10" s="185"/>
      <x:c r="H10" s="185"/>
      <x:c r="I10" s="186"/>
      <x:c r="K10" s="184" t="str">
        <x:v>SUPPORT / CONTENT AGENT
FAQ • Service guidance • SEO/AEO/GEO assistance</x:v>
      </x:c>
      <x:c r="L10" s="185"/>
      <x:c r="M10" s="185"/>
      <x:c r="N10" s="186"/>
    </x:row>
    <x:row r="11" ht="22" customHeight="1">
      <x:c r="A11" s="187"/>
      <x:c r="B11" s="188"/>
      <x:c r="C11" s="188"/>
      <x:c r="D11" s="189"/>
      <x:c r="F11" s="187"/>
      <x:c r="G11" s="188"/>
      <x:c r="H11" s="188"/>
      <x:c r="I11" s="189"/>
      <x:c r="K11" s="187"/>
      <x:c r="L11" s="188"/>
      <x:c r="M11" s="188"/>
      <x:c r="N11" s="189"/>
    </x:row>
    <x:row r="12" ht="22" customHeight="1">
      <x:c r="A12" s="190"/>
      <x:c r="B12" s="191"/>
      <x:c r="C12" s="191"/>
      <x:c r="D12" s="192"/>
      <x:c r="F12" s="190"/>
      <x:c r="G12" s="191"/>
      <x:c r="H12" s="191"/>
      <x:c r="I12" s="192"/>
      <x:c r="K12" s="190"/>
      <x:c r="L12" s="191"/>
      <x:c r="M12" s="191"/>
      <x:c r="N12" s="192"/>
    </x:row>
    <x:row r="13" ht="22" customHeight="1">
      <x:c r="F13" s="100" t="str">
        <x:v>↓</x:v>
      </x:c>
      <x:c r="G13" s="100"/>
      <x:c r="H13" s="100"/>
      <x:c r="I13" s="100"/>
    </x:row>
    <x:row r="14" ht="22" customHeight="1">
      <x:c r="A14" s="66" t="str">
        <x:v>LIGHTWEIGHT PERSISTENT WORKSPACE
lead_id • customer needs • compared options • quote status • pending actions • owner</x:v>
      </x:c>
      <x:c r="B14" s="67"/>
      <x:c r="C14" s="67"/>
      <x:c r="D14" s="67"/>
      <x:c r="E14" s="67"/>
      <x:c r="F14" s="67"/>
      <x:c r="G14" s="67"/>
      <x:c r="H14" s="67"/>
      <x:c r="I14" s="67"/>
      <x:c r="J14" s="67"/>
      <x:c r="K14" s="67"/>
      <x:c r="L14" s="67"/>
      <x:c r="M14" s="67"/>
      <x:c r="N14" s="68"/>
    </x:row>
    <x:row r="15" ht="22" customHeight="1">
      <x:c r="A15" s="69"/>
      <x:c r="B15" s="70"/>
      <x:c r="C15" s="70"/>
      <x:c r="D15" s="70"/>
      <x:c r="E15" s="70"/>
      <x:c r="F15" s="70"/>
      <x:c r="G15" s="70"/>
      <x:c r="H15" s="70"/>
      <x:c r="I15" s="70"/>
      <x:c r="J15" s="70"/>
      <x:c r="K15" s="70"/>
      <x:c r="L15" s="70"/>
      <x:c r="M15" s="70"/>
      <x:c r="N15" s="71"/>
    </x:row>
    <x:row r="16" ht="22" customHeight="1">
      <x:c r="F16" s="100" t="str">
        <x:v>↓</x:v>
      </x:c>
      <x:c r="G16" s="100"/>
      <x:c r="H16" s="100"/>
      <x:c r="I16" s="100"/>
    </x:row>
    <x:row r="17" ht="22" customHeight="1">
      <x:c r="A17" s="66" t="str">
        <x:v>TASK-AWARE KNOWLEDGE VIEWS
Sales • Quotation • Booking • Customer Service • Content</x:v>
      </x:c>
      <x:c r="B17" s="67"/>
      <x:c r="C17" s="67"/>
      <x:c r="D17" s="67"/>
      <x:c r="E17" s="67"/>
      <x:c r="F17" s="67"/>
      <x:c r="G17" s="67"/>
      <x:c r="H17" s="67"/>
      <x:c r="I17" s="67"/>
      <x:c r="J17" s="67"/>
      <x:c r="K17" s="67"/>
      <x:c r="L17" s="67"/>
      <x:c r="M17" s="67"/>
      <x:c r="N17" s="68"/>
    </x:row>
    <x:row r="18" ht="22" customHeight="1">
      <x:c r="A18" s="69"/>
      <x:c r="B18" s="70"/>
      <x:c r="C18" s="70"/>
      <x:c r="D18" s="70"/>
      <x:c r="E18" s="70"/>
      <x:c r="F18" s="70"/>
      <x:c r="G18" s="70"/>
      <x:c r="H18" s="70"/>
      <x:c r="I18" s="70"/>
      <x:c r="J18" s="70"/>
      <x:c r="K18" s="70"/>
      <x:c r="L18" s="70"/>
      <x:c r="M18" s="70"/>
      <x:c r="N18" s="71"/>
    </x:row>
    <x:row r="19" ht="22" customHeight="1">
      <x:c r="A19" s="184" t="str">
        <x:v>SUMMARY VIEW
Fast FAQ • service overview • simple recommendations</x:v>
      </x:c>
      <x:c r="B19" s="185"/>
      <x:c r="C19" s="185"/>
      <x:c r="D19" s="185"/>
      <x:c r="E19" s="185"/>
      <x:c r="F19" s="186"/>
      <x:c r="I19" s="184" t="str">
        <x:v>DETAILED VIEW
Cross-service comparison • explanation • content analysis</x:v>
      </x:c>
      <x:c r="J19" s="185"/>
      <x:c r="K19" s="185"/>
      <x:c r="L19" s="185"/>
      <x:c r="M19" s="185"/>
      <x:c r="N19" s="186"/>
    </x:row>
    <x:row r="20" ht="22" customHeight="1">
      <x:c r="A20" s="187"/>
      <x:c r="B20" s="188"/>
      <x:c r="C20" s="188"/>
      <x:c r="D20" s="188"/>
      <x:c r="E20" s="188"/>
      <x:c r="F20" s="189"/>
      <x:c r="I20" s="187"/>
      <x:c r="J20" s="188"/>
      <x:c r="K20" s="188"/>
      <x:c r="L20" s="188"/>
      <x:c r="M20" s="188"/>
      <x:c r="N20" s="189"/>
    </x:row>
    <x:row r="21" ht="22" customHeight="1">
      <x:c r="A21" s="190"/>
      <x:c r="B21" s="191"/>
      <x:c r="C21" s="191"/>
      <x:c r="D21" s="191"/>
      <x:c r="E21" s="191"/>
      <x:c r="F21" s="192"/>
      <x:c r="I21" s="190"/>
      <x:c r="J21" s="191"/>
      <x:c r="K21" s="191"/>
      <x:c r="L21" s="191"/>
      <x:c r="M21" s="191"/>
      <x:c r="N21" s="192"/>
    </x:row>
    <x:row r="22" ht="22" customHeight="1">
      <x:c r="F22" s="100" t="str">
        <x:v>↓</x:v>
      </x:c>
      <x:c r="G22" s="100"/>
      <x:c r="H22" s="100"/>
      <x:c r="I22" s="100"/>
    </x:row>
    <x:row r="23" ht="22" customHeight="1">
      <x:c r="A23" s="258" t="str">
        <x:v>RAG / CONTENT RETRIEVAL
Website pages • service policies • brochures • source URLs • citations</x:v>
      </x:c>
      <x:c r="B23" s="259"/>
      <x:c r="C23" s="259"/>
      <x:c r="D23" s="259"/>
      <x:c r="E23" s="259"/>
      <x:c r="F23" s="260"/>
      <x:c r="I23" s="258" t="str">
        <x:v>LIVE OPERATIONAL TOOLS / APIs
Current price • availability • booking • lead • contract • promotion</x:v>
      </x:c>
      <x:c r="J23" s="259"/>
      <x:c r="K23" s="259"/>
      <x:c r="L23" s="259"/>
      <x:c r="M23" s="259"/>
      <x:c r="N23" s="260"/>
    </x:row>
    <x:row r="24" ht="22" customHeight="1">
      <x:c r="A24" s="261"/>
      <x:c r="B24" s="262"/>
      <x:c r="C24" s="262"/>
      <x:c r="D24" s="262"/>
      <x:c r="E24" s="262"/>
      <x:c r="F24" s="263"/>
      <x:c r="I24" s="261"/>
      <x:c r="J24" s="262"/>
      <x:c r="K24" s="262"/>
      <x:c r="L24" s="262"/>
      <x:c r="M24" s="262"/>
      <x:c r="N24" s="263"/>
    </x:row>
    <x:row r="25" ht="22" customHeight="1">
      <x:c r="A25" s="264"/>
      <x:c r="B25" s="265"/>
      <x:c r="C25" s="265"/>
      <x:c r="D25" s="265"/>
      <x:c r="E25" s="265"/>
      <x:c r="F25" s="266"/>
      <x:c r="I25" s="264"/>
      <x:c r="J25" s="265"/>
      <x:c r="K25" s="265"/>
      <x:c r="L25" s="265"/>
      <x:c r="M25" s="265"/>
      <x:c r="N25" s="266"/>
    </x:row>
    <x:row r="26" ht="22" customHeight="1">
      <x:c r="F26" s="100" t="str">
        <x:v>↓</x:v>
      </x:c>
      <x:c r="G26" s="100"/>
      <x:c r="H26" s="100"/>
      <x:c r="I26" s="100"/>
    </x:row>
    <x:row r="27" ht="22" customHeight="1">
      <x:c r="A27" s="124" t="str">
        <x:v>Pricing &amp; Availability DB
Source of truth</x:v>
      </x:c>
      <x:c r="B27" s="125"/>
      <x:c r="C27" s="125"/>
      <x:c r="D27" s="126"/>
      <x:c r="E27" s="124" t="str">
        <x:v>CRM / Lead Store
Journey &amp; follow-up</x:v>
      </x:c>
      <x:c r="F27" s="125"/>
      <x:c r="G27" s="125"/>
      <x:c r="H27" s="126"/>
      <x:c r="I27" s="124" t="str">
        <x:v>Content / Knowledge Store
Versioned sources</x:v>
      </x:c>
      <x:c r="J27" s="125"/>
      <x:c r="K27" s="126"/>
      <x:c r="L27" s="124" t="str">
        <x:v>Queue &amp; Observability
Jobs • retries • logs</x:v>
      </x:c>
      <x:c r="M27" s="125"/>
      <x:c r="N27" s="126"/>
    </x:row>
    <x:row r="28" ht="22" customHeight="1">
      <x:c r="A28" s="312"/>
      <x:c r="B28" s="313"/>
      <x:c r="C28" s="313"/>
      <x:c r="D28" s="314"/>
      <x:c r="E28" s="312"/>
      <x:c r="F28" s="313"/>
      <x:c r="G28" s="313"/>
      <x:c r="H28" s="314"/>
      <x:c r="I28" s="312"/>
      <x:c r="J28" s="313"/>
      <x:c r="K28" s="314"/>
      <x:c r="L28" s="312"/>
      <x:c r="M28" s="313"/>
      <x:c r="N28" s="314"/>
    </x:row>
    <x:row r="29" ht="22" customHeight="1">
      <x:c r="A29" s="127"/>
      <x:c r="B29" s="128"/>
      <x:c r="C29" s="128"/>
      <x:c r="D29" s="129"/>
      <x:c r="E29" s="127"/>
      <x:c r="F29" s="128"/>
      <x:c r="G29" s="128"/>
      <x:c r="H29" s="129"/>
      <x:c r="I29" s="127"/>
      <x:c r="J29" s="128"/>
      <x:c r="K29" s="129"/>
      <x:c r="L29" s="127"/>
      <x:c r="M29" s="128"/>
      <x:c r="N29" s="129"/>
    </x:row>
    <x:row r="30" ht="22" customHeight="1"/>
    <x:row r="31" ht="22" customHeight="1">
      <x:c r="A31" s="330" t="str">
        <x:v>Nguyên tắc ver 05082026: Knowledge view dùng để hiểu, tư vấn và giải thích. Giá, tồn phòng, lịch booking, lead, hợp đồng và khuyến mại phải lấy trực tiếp từ API/database. Chỉ áp dụng checkpoint/retry cho quote, booking, follow-up và content jobs có giá trị.</x:v>
      </x:c>
      <x:c r="B31" s="330"/>
      <x:c r="C31" s="330"/>
      <x:c r="D31" s="330"/>
      <x:c r="E31" s="330"/>
      <x:c r="F31" s="330"/>
      <x:c r="G31" s="330"/>
      <x:c r="H31" s="330"/>
      <x:c r="I31" s="330"/>
      <x:c r="J31" s="330"/>
      <x:c r="K31" s="330"/>
      <x:c r="L31" s="330"/>
      <x:c r="M31" s="330"/>
      <x:c r="N31" s="330"/>
    </x:row>
    <x:row r="32" ht="22" customHeight="1">
      <x:c r="A32" s="330"/>
      <x:c r="B32" s="330"/>
      <x:c r="C32" s="330"/>
      <x:c r="D32" s="330"/>
      <x:c r="E32" s="330"/>
      <x:c r="F32" s="330"/>
      <x:c r="G32" s="330"/>
      <x:c r="H32" s="330"/>
      <x:c r="I32" s="330"/>
      <x:c r="J32" s="330"/>
      <x:c r="K32" s="330"/>
      <x:c r="L32" s="330"/>
      <x:c r="M32" s="330"/>
      <x:c r="N32" s="330"/>
    </x:row>
    <x:row r="33" ht="22" customHeight="1">
      <x:c r="A33" s="330"/>
      <x:c r="B33" s="330"/>
      <x:c r="C33" s="330"/>
      <x:c r="D33" s="330"/>
      <x:c r="E33" s="330"/>
      <x:c r="F33" s="330"/>
      <x:c r="G33" s="330"/>
      <x:c r="H33" s="330"/>
      <x:c r="I33" s="330"/>
      <x:c r="J33" s="330"/>
      <x:c r="K33" s="330"/>
      <x:c r="L33" s="330"/>
      <x:c r="M33" s="330"/>
      <x:c r="N33" s="330"/>
    </x:row>
    <x:row r="34" ht="22" customHeight="1"/>
  </x:sheetData>
  <x:mergeCells>
    <x:mergeCell ref="A1:N2"/>
    <x:mergeCell ref="B4:M5"/>
    <x:mergeCell ref="F6:I6"/>
    <x:mergeCell ref="B7:M8"/>
    <x:mergeCell ref="F9:I9"/>
    <x:mergeCell ref="A10:D12"/>
    <x:mergeCell ref="F10:I12"/>
    <x:mergeCell ref="K10:N12"/>
    <x:mergeCell ref="F13:I13"/>
    <x:mergeCell ref="A14:N15"/>
    <x:mergeCell ref="F16:I16"/>
    <x:mergeCell ref="A17:N18"/>
    <x:mergeCell ref="A19:F21"/>
    <x:mergeCell ref="I19:N21"/>
    <x:mergeCell ref="F22:I22"/>
    <x:mergeCell ref="A23:F25"/>
    <x:mergeCell ref="I23:N25"/>
    <x:mergeCell ref="F26:I26"/>
    <x:mergeCell ref="A27:D29"/>
    <x:mergeCell ref="E27:H29"/>
    <x:mergeCell ref="I27:K29"/>
    <x:mergeCell ref="L27:N29"/>
    <x:mergeCell ref="A31:N33"/>
  </x:mergeCells>
  <x:pageMargins left="0.7" right="0.7" top="0.75" bottom="0.75" header="0.3" footer="0.3"/>
</x:worksheet>
</file>